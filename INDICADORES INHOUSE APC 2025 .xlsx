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namedSheetViews/namedSheetView1.xml" ContentType="application/vnd.ms-excel.namedsheetview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d.docs.live.net/622c36cf61cad08d/TECHNICAL SERVICE/APC FACATATIVA/ARCHIVO INDICADORES APC FACA/"/>
    </mc:Choice>
  </mc:AlternateContent>
  <xr:revisionPtr revIDLastSave="939" documentId="14_{31C161CB-4D34-4850-9F78-C417F8C7D57A}" xr6:coauthVersionLast="47" xr6:coauthVersionMax="47" xr10:uidLastSave="{7E7163D3-C685-4CFB-801F-C67E6B668320}"/>
  <bookViews>
    <workbookView xWindow="-120" yWindow="-120" windowWidth="20730" windowHeight="11040" xr2:uid="{00000000-000D-0000-FFFF-FFFF00000000}"/>
  </bookViews>
  <sheets>
    <sheet name="COSTO TOTAL" sheetId="8" r:id="rId1"/>
    <sheet name="DATA" sheetId="1" r:id="rId2"/>
    <sheet name="Hoja1" sheetId="5" state="hidden" r:id="rId3"/>
    <sheet name="RESULTADOS" sheetId="3" r:id="rId4"/>
    <sheet name="ACUMULADO EQUIPOS APC" sheetId="4" r:id="rId5"/>
    <sheet name="LISTA" sheetId="2" state="hidden" r:id="rId6"/>
  </sheets>
  <calcPr calcId="191028"/>
  <pivotCaches>
    <pivotCache cacheId="64"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6" i="1" l="1"/>
  <c r="M184"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L166" i="1"/>
  <c r="L167" i="1"/>
  <c r="L164" i="1"/>
  <c r="L153" i="1"/>
  <c r="L152" i="1"/>
  <c r="B2" i="5"/>
  <c r="L115" i="1"/>
  <c r="L100" i="1"/>
  <c r="L102" i="1"/>
  <c r="L103" i="1"/>
  <c r="L104" i="1"/>
  <c r="L96" i="1"/>
  <c r="L90" i="1"/>
  <c r="L88" i="1"/>
  <c r="L81" i="1"/>
  <c r="K17" i="3" s="1"/>
  <c r="L84" i="1"/>
  <c r="L83" i="1"/>
  <c r="AD4" i="4" a="1"/>
  <c r="AD4" i="4"/>
  <c r="AC4" i="4"/>
  <c r="L13" i="3"/>
  <c r="AD2" i="4"/>
  <c r="L2" i="1"/>
  <c r="L3" i="1"/>
  <c r="L4" i="1"/>
  <c r="L5" i="1"/>
  <c r="L6" i="1"/>
  <c r="L7" i="1"/>
  <c r="L8" i="1"/>
  <c r="L9" i="1"/>
  <c r="L10" i="1"/>
  <c r="L11" i="1"/>
  <c r="L12" i="1"/>
  <c r="L13" i="1"/>
  <c r="L14" i="1"/>
  <c r="L15" i="1"/>
  <c r="L16" i="1"/>
  <c r="L17" i="1"/>
  <c r="L18" i="1"/>
  <c r="L19" i="1"/>
  <c r="L20" i="1"/>
  <c r="L21" i="1"/>
  <c r="L22" i="1"/>
  <c r="L23" i="1"/>
  <c r="L24" i="1"/>
  <c r="L25" i="1"/>
  <c r="L27" i="1"/>
  <c r="D15" i="3" s="1"/>
  <c r="L28" i="1"/>
  <c r="L29" i="1"/>
  <c r="L30" i="1"/>
  <c r="L31" i="1"/>
  <c r="L32" i="1"/>
  <c r="L33" i="1"/>
  <c r="L34" i="1"/>
  <c r="L35" i="1"/>
  <c r="L36" i="1"/>
  <c r="L37" i="1"/>
  <c r="L38" i="1"/>
  <c r="L39" i="1"/>
  <c r="L40" i="1"/>
  <c r="L41" i="1"/>
  <c r="L42" i="1"/>
  <c r="L43" i="1"/>
  <c r="L44" i="1"/>
  <c r="G48" i="3" s="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2" i="1"/>
  <c r="L85" i="1"/>
  <c r="L86" i="1"/>
  <c r="L87" i="1"/>
  <c r="L89" i="1"/>
  <c r="L91" i="1"/>
  <c r="L92" i="1"/>
  <c r="L93" i="1"/>
  <c r="L94" i="1"/>
  <c r="L95" i="1"/>
  <c r="L97" i="1"/>
  <c r="L98" i="1"/>
  <c r="L99" i="1"/>
  <c r="L101" i="1"/>
  <c r="L105" i="1"/>
  <c r="L106" i="1"/>
  <c r="L107" i="1"/>
  <c r="L108" i="1"/>
  <c r="L109" i="1"/>
  <c r="L110" i="1"/>
  <c r="L111" i="1"/>
  <c r="L112" i="1"/>
  <c r="L113" i="1"/>
  <c r="L114"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4" i="1"/>
  <c r="L155" i="1"/>
  <c r="L156" i="1"/>
  <c r="L157" i="1"/>
  <c r="L158" i="1"/>
  <c r="L159" i="1"/>
  <c r="L160" i="1"/>
  <c r="L161" i="1"/>
  <c r="L162" i="1"/>
  <c r="L163" i="1"/>
  <c r="L165" i="1"/>
  <c r="L168" i="1"/>
  <c r="L169" i="1"/>
  <c r="L170" i="1"/>
  <c r="L171" i="1"/>
  <c r="L172" i="1"/>
  <c r="L173" i="1"/>
  <c r="L174" i="1"/>
  <c r="L175" i="1"/>
  <c r="L176" i="1"/>
  <c r="L177" i="1"/>
  <c r="L178" i="1"/>
  <c r="L179" i="1"/>
  <c r="L180" i="1"/>
  <c r="L181" i="1"/>
  <c r="L182" i="1"/>
  <c r="L183" i="1"/>
  <c r="K15" i="3" l="1"/>
  <c r="G49" i="3"/>
  <c r="C16" i="3"/>
  <c r="J14" i="3"/>
  <c r="J18" i="3" s="1"/>
  <c r="J19" i="3" s="1"/>
  <c r="H15" i="3"/>
  <c r="G42" i="3"/>
  <c r="F14" i="3"/>
  <c r="F18" i="3" s="1"/>
  <c r="F19" i="3" s="1"/>
  <c r="E16" i="3"/>
  <c r="C17" i="3"/>
  <c r="G16" i="3"/>
  <c r="H14" i="3"/>
  <c r="H18" i="3" s="1"/>
  <c r="H19" i="3" s="1"/>
  <c r="E14" i="3"/>
  <c r="F14" i="4" s="1"/>
  <c r="B5" i="5"/>
  <c r="F16" i="3"/>
  <c r="G44" i="3"/>
  <c r="K14" i="3"/>
  <c r="K18" i="3" s="1"/>
  <c r="K19" i="3" s="1"/>
  <c r="E17" i="3"/>
  <c r="K16" i="3"/>
  <c r="D14" i="3"/>
  <c r="D18" i="3" s="1"/>
  <c r="D19" i="3" s="1"/>
  <c r="B4" i="5"/>
  <c r="G47" i="3"/>
  <c r="B3" i="5"/>
  <c r="F15" i="3"/>
  <c r="F11" i="4"/>
  <c r="G43" i="3"/>
  <c r="J17" i="3"/>
  <c r="H17" i="3"/>
  <c r="B6" i="5"/>
  <c r="B7" i="5"/>
  <c r="E15" i="3"/>
  <c r="D16" i="3"/>
  <c r="F13" i="4"/>
  <c r="B8" i="5"/>
  <c r="F8" i="4"/>
  <c r="H16" i="3"/>
  <c r="F5" i="4"/>
  <c r="J15" i="3"/>
  <c r="I15" i="3"/>
  <c r="F6" i="4"/>
  <c r="J16" i="3"/>
  <c r="G14" i="3"/>
  <c r="G18" i="3" s="1"/>
  <c r="G19" i="3" s="1"/>
  <c r="G41" i="3"/>
  <c r="G45" i="3"/>
  <c r="B9" i="5"/>
  <c r="C15" i="3"/>
  <c r="F10" i="4"/>
  <c r="I17" i="3"/>
  <c r="F17" i="3"/>
  <c r="G40" i="3"/>
  <c r="G15" i="3"/>
  <c r="C14" i="3"/>
  <c r="C18" i="3" s="1"/>
  <c r="C19" i="3" s="1"/>
  <c r="F12" i="4"/>
  <c r="F7" i="4"/>
  <c r="B10" i="5"/>
  <c r="G46" i="3"/>
  <c r="G17" i="3"/>
  <c r="G39" i="3"/>
  <c r="D17" i="3"/>
  <c r="I16" i="3"/>
  <c r="I14" i="3"/>
  <c r="I18" i="3" s="1"/>
  <c r="I19" i="3" s="1"/>
  <c r="F9" i="4"/>
  <c r="E18" i="3"/>
  <c r="L16" i="3" l="1"/>
  <c r="AD6" i="4" a="1"/>
  <c r="AD6" i="4" s="1"/>
  <c r="L14" i="3"/>
  <c r="L15" i="3"/>
  <c r="AD5" i="4" a="1"/>
  <c r="AD5" i="4" s="1"/>
  <c r="L17" i="3"/>
  <c r="C8" i="3" s="1"/>
  <c r="AM6" i="4"/>
  <c r="AE2" i="4"/>
  <c r="E19" i="3"/>
  <c r="L18" i="3"/>
  <c r="AG2" i="4" l="1"/>
  <c r="AM5" i="4"/>
  <c r="C9" i="3"/>
  <c r="AF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13" authorId="0" shapeId="0" xr:uid="{00000000-0006-0000-0100-000001000000}">
      <text>
        <r>
          <rPr>
            <b/>
            <sz val="9"/>
            <color indexed="81"/>
            <rFont val="Tahoma"/>
            <family val="2"/>
          </rPr>
          <t>admin:</t>
        </r>
        <r>
          <rPr>
            <sz val="9"/>
            <color indexed="81"/>
            <rFont val="Tahoma"/>
            <family val="2"/>
          </rPr>
          <t xml:space="preserve">
TIEMPOS OPERATIVOS DADOS POR POLAR: NO REQUIEREN SER MODIFICADOS</t>
        </r>
      </text>
    </comment>
    <comment ref="B14" authorId="0" shapeId="0" xr:uid="{00000000-0006-0000-0100-000002000000}">
      <text>
        <r>
          <rPr>
            <b/>
            <sz val="9"/>
            <color indexed="81"/>
            <rFont val="Tahoma"/>
            <family val="2"/>
          </rPr>
          <t>admin:</t>
        </r>
        <r>
          <rPr>
            <sz val="9"/>
            <color indexed="81"/>
            <rFont val="Tahoma"/>
            <family val="2"/>
          </rPr>
          <t xml:space="preserve">
TIEMPO DE PARADA A CAUSA DE AVERIAS; SE MODIFICA AUTOMATICAMENTE.</t>
        </r>
      </text>
    </comment>
    <comment ref="B17" authorId="0" shapeId="0" xr:uid="{00000000-0006-0000-0100-000003000000}">
      <text>
        <r>
          <rPr>
            <b/>
            <sz val="9"/>
            <color indexed="81"/>
            <rFont val="Tahoma"/>
            <family val="2"/>
          </rPr>
          <t>admin:</t>
        </r>
        <r>
          <rPr>
            <sz val="9"/>
            <color indexed="81"/>
            <rFont val="Tahoma"/>
            <family val="2"/>
          </rPr>
          <t xml:space="preserve">
AUTOMATICO; CANTIDAD DE AVERIAS POR MES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<sst xmlns="http://schemas.openxmlformats.org/spreadsheetml/2006/main" count="1136" uniqueCount="391">
  <si>
    <t>MES</t>
  </si>
  <si>
    <t>(Todas)</t>
  </si>
  <si>
    <t>Etiquetas de columna</t>
  </si>
  <si>
    <t>CATERPILLAR 1</t>
  </si>
  <si>
    <t>NISSAN 7</t>
  </si>
  <si>
    <t>TOYOTA 10</t>
  </si>
  <si>
    <t>TOYOTA 11</t>
  </si>
  <si>
    <t>TOYOTA 12</t>
  </si>
  <si>
    <t>TOYOTA 13</t>
  </si>
  <si>
    <t>TOYOTA 5</t>
  </si>
  <si>
    <t>TOYOTA 8</t>
  </si>
  <si>
    <t>TOYOTA 9</t>
  </si>
  <si>
    <t>(en blanco)</t>
  </si>
  <si>
    <t>TOTAL COSTO</t>
  </si>
  <si>
    <t>COSTOS</t>
  </si>
  <si>
    <t>FECHA</t>
  </si>
  <si>
    <t>EQUIPO</t>
  </si>
  <si>
    <t xml:space="preserve">SISTEMA </t>
  </si>
  <si>
    <t>TIEMPO</t>
  </si>
  <si>
    <t>NOVEDAD</t>
  </si>
  <si>
    <t>REPUESTOS</t>
  </si>
  <si>
    <t>No. COTIZACION</t>
  </si>
  <si>
    <t xml:space="preserve">PROCESO </t>
  </si>
  <si>
    <t>HOROMETRO</t>
  </si>
  <si>
    <t>COSTO</t>
  </si>
  <si>
    <t>PREVENTIVO</t>
  </si>
  <si>
    <t>AÑO</t>
  </si>
  <si>
    <t>ENCENDIDO</t>
  </si>
  <si>
    <t xml:space="preserve">PROBLEMA DE ENCENDIDO, SE LE CAMBIA BOBINA </t>
  </si>
  <si>
    <t>01 BOBINA</t>
  </si>
  <si>
    <t>DIRECCION</t>
  </si>
  <si>
    <t>FRENOS ROTOS DE LA RUEDA TRASERA, SE LE CAMBIA SEIS (6) PERNOS</t>
  </si>
  <si>
    <t xml:space="preserve">06 PERNOS </t>
  </si>
  <si>
    <t xml:space="preserve">PROBLEMAS EN ARRANQUE SALE PARA REPARACION </t>
  </si>
  <si>
    <t>04 ESCOBILLAS, 02 RODAMIENTOS, 01 AUTOMATICO</t>
  </si>
  <si>
    <t>SE EVIDENCIA PROBLEMAS DE ENCENDIDO, SE REALIZA INTERCAMBIO DE BOBINAS CON LA 8</t>
  </si>
  <si>
    <t xml:space="preserve">01 BOBINA </t>
  </si>
  <si>
    <t>MTTO PREVENTIVO</t>
  </si>
  <si>
    <t>ENTRA AL TALLER POR BAJO NIVEL ACEITE MOTOR, SE LE REALIZA MANTENIMIENTO PREVENTIVO.</t>
  </si>
  <si>
    <t>01 FILTRO ACEITE, 02 FILTRO DE AIRE, 01 ACEITE MOTOR, 01 GRASA HH S 500, 01 LUB DE CADENA</t>
  </si>
  <si>
    <t>TRACCION</t>
  </si>
  <si>
    <t>EQUIPO VARADO EN TALLER POR MARCHAS, SE CAMBIA ELECTROVALVULA DE MARCHAS QUEDA OPERATIVA</t>
  </si>
  <si>
    <t>01 ELECROVALVULA DE MARCHAS</t>
  </si>
  <si>
    <t xml:space="preserve">FALLA DISTTRIBUIDOR DE CORRIENTE </t>
  </si>
  <si>
    <t xml:space="preserve">01 DISTRIBUIDOR DE CORRIENTE </t>
  </si>
  <si>
    <t>MASTIL</t>
  </si>
  <si>
    <t>TORNILLOS DEL DESPLAZADOR LATERAL ROTO</t>
  </si>
  <si>
    <t xml:space="preserve">01 TORNILLOS </t>
  </si>
  <si>
    <t>FRENOS</t>
  </si>
  <si>
    <t xml:space="preserve">SE LE CALIBRAN FRENOS, QUEDA OPERATIVA </t>
  </si>
  <si>
    <t xml:space="preserve">SE CORRIGE FUGA ACEITE TRANSMISION </t>
  </si>
  <si>
    <t>04 ORING</t>
  </si>
  <si>
    <t>EQUIPO FUERA DE SERVICIO POR FALLA DE FRENOS</t>
  </si>
  <si>
    <t xml:space="preserve">04 BANDAS,02 RETENEDOPRES CAMPANAS, 02 RETENEDORES EJE, 02 TENSOR BANDAS </t>
  </si>
  <si>
    <t>SIST. HIDRAULICO</t>
  </si>
  <si>
    <t xml:space="preserve">CAMBIO DE MANGUERAS, SISTEMA HIDRAULICO </t>
  </si>
  <si>
    <t xml:space="preserve">01 MANGUERAS </t>
  </si>
  <si>
    <t>FUGA DE ACEITE POR EJE, SE RETIRA VINIPEL Y SE ENTREGA OPERATIVA.</t>
  </si>
  <si>
    <t>01 SILICONA ULTRAGADE</t>
  </si>
  <si>
    <t xml:space="preserve">SE CALIBRAN LOS FRENOS Y SE REGULO LA ACELERACION </t>
  </si>
  <si>
    <t xml:space="preserve">PERNOS ROTOS, SE REALIZO CAMBIO, EQUIPO OPERATIVO </t>
  </si>
  <si>
    <t>COMBUSTIBLE</t>
  </si>
  <si>
    <t>VARADA POR SISTEMA LPG</t>
  </si>
  <si>
    <t>01 EMPAQUETADURA DEL FILTRO, VAPORIZADOR, 01 MEZCLADOR</t>
  </si>
  <si>
    <t>CILINDRO DE GAS VACIO, EQUIPO OPERATIVO</t>
  </si>
  <si>
    <t>MAQUINA VARADA POR FRENOS, SE LE CAMBIA BOMBA PARA LOS FRENOS</t>
  </si>
  <si>
    <t>01 BOMBA DE FRENOS</t>
  </si>
  <si>
    <t>MAQUINA VARADA POR UNA MANGUERA SUELTA, EQUIPO OPERATIVO</t>
  </si>
  <si>
    <t>RUEDA TRASERA SUELTA POR DAÑO EN RIN, SE AJUSTAN TUERCAS, EQUIPO OPERATIVO</t>
  </si>
  <si>
    <t>DAÑO EN LOS DESLIZADORES INFERIORES DEL CARRO PORTAHORQUILLAS, EQUIPO OPERATIVO</t>
  </si>
  <si>
    <t xml:space="preserve">02 DESLIZADORES </t>
  </si>
  <si>
    <t xml:space="preserve">EQUIPO FUERA DE SERVICIO POR TRANSMISION AUTOMATICA </t>
  </si>
  <si>
    <t>(1) WIRE ASSEMBLY INCHING,  (1)  WIRE-SOLENOID, (1)  FILTER TRANSMISIÓN, (2)  HOSE- LOW PRESSURE, (1)  SEAL KIT-TRANSMISSION, (1) SEAL KIT-TRANSMISSION, (10) PLATE -STEEL CLUTCH, (10) DISCO EMBRAGUE HIDRAULICO, (02) 
BANDAS FRENOS, (01) SEAL-OIL RUBBER, (1) HUB OIL SEAL METAL, (8) DEXRON III ACEITE TRANSMISIÓN Y DIRECCIÓN 1/4, (1) LIQUIDO DE FRENOS DOT4</t>
  </si>
  <si>
    <t xml:space="preserve">NOVEDAD EN LA BOMBA HD 
SE TOMA DE LA TY No. 11  Y CAMBIO DEL ACEITE POR MEZCLA CON EL DE MOTOR </t>
  </si>
  <si>
    <t>01 BOMBA HIDRAULICA, 10 GALONES ACEITE HD ISO 68</t>
  </si>
  <si>
    <t>POTENCIA</t>
  </si>
  <si>
    <t>NOVEDAD EN EL CARGADOR DE LA BATERÍA.
SE REPARA CABLEADO DEL CARGADOR POR DETERIORO.</t>
  </si>
  <si>
    <t>PRESENTA NOVEDAD  EN MARCHAS
SE CAMBIA CONTROL DE MARCHAS POR EL DE LA TY No. 11</t>
  </si>
  <si>
    <t>SEGURIDAD</t>
  </si>
  <si>
    <t>NOVEDAD EN SISTEMA DE LUCES
SE CAMBIA LUZ ESTOBER</t>
  </si>
  <si>
    <t xml:space="preserve">01 LUZ ESTOBER </t>
  </si>
  <si>
    <t xml:space="preserve">PRESENTA FUGA DE ACEITE SE REALIZO CAMBIO DE FILTRO RETORNO DEL HD  </t>
  </si>
  <si>
    <t xml:space="preserve">01 FILTRO RETORNO DEL HD </t>
  </si>
  <si>
    <t>NOVEDAD EN FRENO DE PARQUEO
*SE HIZOCAMBIO GUAYA DEL FRENO DE PARQUEO SE TOMA DE LA TY No. 11</t>
  </si>
  <si>
    <t>PRESENTA NOVEDAD EN EL SISTEMA DE DIRECCION.
SE CAMBIA RODAMIENTO AXIAL DEL CACHO.</t>
  </si>
  <si>
    <t>01 RODAMIENTO AXIAL, 01 SPLINDER</t>
  </si>
  <si>
    <t>PRESENTA FUGA DE ACEITE 
INSPECCION DE FUGA POR EL RETENEDOR DEL CARDAN</t>
  </si>
  <si>
    <t xml:space="preserve">EQUIPO INOPERATIVO
*NOVEDAD EN  RUEDA IZQUIERDA 
*SE REALIZA SOLDADURA AL RIN </t>
  </si>
  <si>
    <t>NOVEDAD EN EL ENCENDIDO.
*EQUIPO OPERATIVO SE LE CAMBIA EMPAQUETADURA Y MEZCLADOR COMPLETO.</t>
  </si>
  <si>
    <t xml:space="preserve">01 EMPAQUETADURA, 01 MEZCLADOR </t>
  </si>
  <si>
    <t>LUZ ESTROBER NO FUNCIONA, SE REALIZA CAMBIO DE LA LUZ AVERIADA</t>
  </si>
  <si>
    <t>01 LUZ ESTROBER</t>
  </si>
  <si>
    <t>NOVEDAD EN EL MÁSTIL
*SE RECTIFICAN ROSCAS DEL RESPALDO DE CARGA E INSTALAN TORNILLOS</t>
  </si>
  <si>
    <t xml:space="preserve">04 TORNILLOS </t>
  </si>
  <si>
    <t>PRESENTA FUGA POR RETENEDOR DEL CARDÁN (DIFERENCIAL)
SE TOMA BOBINA DEL DISTRIBUIDOR PARA HABILITAR TY No.  09</t>
  </si>
  <si>
    <t xml:space="preserve">01 RETENEDOR DE CARDAN, 01 DISTRIBUIDOR </t>
  </si>
  <si>
    <t>NOVEDAD EN EL ENCENDIDO
REPARACIÓN DEL DISTRIBUIDOR DE CORRIENTE (SE TOMAN REPUESTOS DE LA TY 08).</t>
  </si>
  <si>
    <t>NOVEDAD EN LOS FRENOS
*REPARACÓN FRENOS LADO IZQUIERDO</t>
  </si>
  <si>
    <t xml:space="preserve">02 BANDAS FRENO, 01 RETENEDOR CAMPANA, 01 RETEDOR EJE </t>
  </si>
  <si>
    <t>SE INSTALA LUZ ESTOBER A LA TY No.12 (AVERIADA)</t>
  </si>
  <si>
    <t>NOVEDAD EN SISTEMA DE DIRECCIÓN
CAMBIO DE CILINDRO POR FUGA INTERNA</t>
  </si>
  <si>
    <t>01 KIT DE EMPAQUETADURA</t>
  </si>
  <si>
    <t>NOVEDAD EN SISTEMA DE FRENOS
GRADUACÍON DE GUAYAS DEL FRENO</t>
  </si>
  <si>
    <t>PRESENTA NOVEDAD EN EL ENCENDIDO
REVISIÓN DEL SISTEMA LPG (CAMBIO DE EMPAQ VAPORIZADOR-FILTRO)</t>
  </si>
  <si>
    <t xml:space="preserve">01 KIT EMPAQUETADURA VAPORIZADOR </t>
  </si>
  <si>
    <t>PRESENTA NOVEDAD EN EL ENCENDIDO
FALLA EN EL DISTRIBUIDOR (GARANTÍA).</t>
  </si>
  <si>
    <t>SE REALIZÓ MTTO PREVENTIVO</t>
  </si>
  <si>
    <t>M1 (250)</t>
  </si>
  <si>
    <t>01 LIMP MULTIPRÓSITO, 01 GRASA HHS 500, 01 LUB DE CADENAS, 01 GRASA, 04 AGUA  DE BATERÍAS</t>
  </si>
  <si>
    <t>NOVEDAD EN EL ENCENDIDO 
NO ENCIENDE POR FALTA DE COMBUSTIBLE (CILINDRO VACÍO)</t>
  </si>
  <si>
    <t>REFRIGERACION</t>
  </si>
  <si>
    <t xml:space="preserve">EQUIPO INOPERATIVO
POLEA VENTILADOR FRACTURADA </t>
  </si>
  <si>
    <t xml:space="preserve">01 POLEA VENTILADOR, 04 TORNILLOS </t>
  </si>
  <si>
    <t>PTE COTIZACION</t>
  </si>
  <si>
    <t xml:space="preserve">EQUIPO INOPERATIVO 
CORREA DE REPARTICIÓN ROTA
SE ENTREGA OPERATIVO </t>
  </si>
  <si>
    <t xml:space="preserve">CILINDRO DE DIRECCION AVERIADO </t>
  </si>
  <si>
    <t xml:space="preserve">01 KIT EMPAQUETADURA </t>
  </si>
  <si>
    <t>COT No. 250608</t>
  </si>
  <si>
    <t>SE REALIZA MTTO PREVENTIVO</t>
  </si>
  <si>
    <t xml:space="preserve">EQUIPO INOPERATIVO RUPTURA DEL TORNILLO DE SUJECION DEL HOUSING </t>
  </si>
  <si>
    <t xml:space="preserve">EQUIPO FUERA DE SERVICIO POR TORNILLO DEL HOUSING ROTO. SE  DESMONTA SISTEMA DE TRACCIÓN PARA EVALUACIÓN Y DIAGNÓSTICO EN EL TORNO </t>
  </si>
  <si>
    <t>*</t>
  </si>
  <si>
    <t>01 ACEITE DE MOTOR, 02 FILTRO DE AIRE, 01 FILTRO DE MOTOR, 01 LUB DE CADENAS, 01 LIMP MULTIPROPOSITO, 01 GRASA HHS 500, 01 GRASA, 01  ESTOPA</t>
  </si>
  <si>
    <t>NOVEDAD EN MANGUERA DEL SISTEMA SIDE SHIFT SE REALIZA CAMBIO DE MANGUERA SEGÚN MUESTRA</t>
  </si>
  <si>
    <t>01  MANGUERA SIDE SHIFT</t>
  </si>
  <si>
    <t xml:space="preserve">NOVEDAD EN LA CORREA DE SERVICIOS </t>
  </si>
  <si>
    <t>01  CORREA</t>
  </si>
  <si>
    <t>NOVEDAD EN EL ALTENADOR SE REALIZAEL CAMBIO</t>
  </si>
  <si>
    <t>01 ALTERNADOR REPARADO</t>
  </si>
  <si>
    <t>NOVEDAD EN EL CILINDRO DE INCLINACION, SE REALIZA REPARACION DEL CILINDRO, CAMBIO DE EMPAQUETADURA Y FABRICACION DEL EJE POR RUPTURA</t>
  </si>
  <si>
    <t>01  KIT DE EMPAQUETADURA, 01  EJE CROMADO, SERVICIO DE TORNO</t>
  </si>
  <si>
    <t>NOVEDAD EN LOS FRENOS, SE REALIZA AJUSTE DE LOS TENSORES DE LAS BANDAS</t>
  </si>
  <si>
    <t>NOVEDAD EN EL SISTEMA LPG, SE REALIZA LIMPIEZA DEL FILTRO DEL GAS Y SINCRINIZACION DEL REGULADOR</t>
  </si>
  <si>
    <t>NOVEDAD EN EL FRENO DE PARQUEO, SE REALIZA CAMBIO DE LA GUAYA DEL DESBLOQUEO DEL FRENO</t>
  </si>
  <si>
    <t>01 GUAYA FRENO</t>
  </si>
  <si>
    <t xml:space="preserve">NOVEDAD EN EL RIN Y RODAMENTO DE LOS EJES SPLINDER DE SISTEMA DE DIRECCION, SE REALIZA CAMBIO DE LOS RINES Y REPARACION Y AJUSTE DEL PUENTE DE DIRRECCION </t>
  </si>
  <si>
    <t>02 RIN RUEDAS TRASERAS, 02 KIT KING PINK, 02 EJES SPLINDER, 02 BIELAS LOWER, 02 BIELAS UPPER, 04 PASADORES BIELAS, 04 BUJES, 08 ARANDELAS DE RETENCION</t>
  </si>
  <si>
    <t>COT No. 250741</t>
  </si>
  <si>
    <t>FUGA DE ACEITE POR CILINDRO DE DIRECCION</t>
  </si>
  <si>
    <t xml:space="preserve">01 KIT EMPAQUETADURA, 01 CROMO DE BARRA </t>
  </si>
  <si>
    <t>P/TE COTIZACION</t>
  </si>
  <si>
    <t>NOVEDAD EN EL SOPORTE DESLIZADORES DEL SISTEMA SIDE SHIFT, RECTIFICACION ROSCAS TORNILLOS DE SUJECION DEL SOPORTE</t>
  </si>
  <si>
    <t>POLEA DE LA BOMBA DE AGUA FRACTURADA, SE REALIZA REPARACION (EN TRAMITE LA GARANTIA)</t>
  </si>
  <si>
    <t>REPONTAN EQUIPO SIN FRENOS, SE REALIZA REPARACIION DEL SISTEMA DE FRENIOS, CAMBIO DE BANDAS Y RETENEDORES</t>
  </si>
  <si>
    <t>04  BANDAS FRENO, 02 RETENEDORES CAMPANAS</t>
  </si>
  <si>
    <t>REPORTAN PERNOS SUELTOS, SE REALIZA AJUSTE DE LAS TUERCAS DE LAS RUEDAS TRASERAS</t>
  </si>
  <si>
    <t xml:space="preserve">FALLA AL ACCIONAR EL ACELERADOR, SE REALIZA CAMBIO DE LA VARILLA DEL PEDAL ACELERADOR. </t>
  </si>
  <si>
    <t xml:space="preserve">01 VARILLA PEDAL ACELERADOR </t>
  </si>
  <si>
    <t xml:space="preserve">REPORTAN FALLA EN EL EQUIPO, SE REALIZA PURGA DE SISTEMA DE REFRIGERACION, SE ARMA ASEGURANDO SU CORRECTO FUNCIONAMIENTO . </t>
  </si>
  <si>
    <t xml:space="preserve">REPORTAN QUE SE APAGA DE FORMAN CONTINUA, SE ANULA UNION DE MANGUERAS DEL LPG. </t>
  </si>
  <si>
    <t>EL EQUIPO FUERA DE SERVICIO POR TORNILLO DEL HOUSING ROTO. SE  DESMONTA SISTEMA DE TRACCIÓN PARA EVALUACIÓN EL EQUIPO TORNO POR AVERÍA REPETITIVA</t>
  </si>
  <si>
    <t>01 TORNILLO, 02 ACEITE 80W90 X1GAL</t>
  </si>
  <si>
    <t>COT No. 259827</t>
  </si>
  <si>
    <t>OK</t>
  </si>
  <si>
    <t>EQUIPO FUERA DE SERVICIO, RUPTURA DE TORNILLO DEL HOUSING, EN REPARACIÓN Y RECONSTRUCCION EN EL TALLER DE TECHNICAL SERVICE, REPARACIÓN Y AJUSTE DEL SISTEMAE DIRECCION, RECONSTRUCCION Y MECANIZADO DE LOS RODAMIENTOS DEL SPLINDER</t>
  </si>
  <si>
    <t>RECONSTRUCCION Y MECANIZADO DE ALOJAMIENTO DEL TORNILLO Y BASES DEL HOUSING, EXTRACCION DEL TORNILLO ROTO, 02 ACEITE 80W-90, 01 TORNILLO, 02 KING PINK, 02 SPLINDER, 04 BIJES COLLAR, 04 PASADORES, 02 BIELAS UPPER, 02 BIELAS LOWER, 08 GUARDAPOLVO, 02 TAPAS SPLINDER, 01 CAUCHO SOPORTE, 02 BUJES PIVOTE, 12 GRASERAS</t>
  </si>
  <si>
    <t>01 ACEITE DE MOTOR, 02 FILTRO DE AIRE, 01 FILTRO DE MOTOR, 01 LUB DE CADENAS, 01 LIMP MULTIPROPOSITO, 01 GRASA HHS 500, 01 GRASA, 01  ESTOPA, 02 ACEITE HD ISO 68X5/GAL, 01 FILTRO HD, 08 ACEITE ATF DEXRON X1/4, 01 FILTRO TRANSM ATM, 01 EMPAQ SISTEMA LPG, 02 VALVULA LPG, 01 FILTRO LPG, 04 BUJIAS, 01 KIT SINCRONIZACION, 01 CORREA ALT, 02 RET CAMPANAS INT, 02 RET CAMPANAS EXT, 01 REFRIG X1/GAL.</t>
  </si>
  <si>
    <t>M2 (1000)</t>
  </si>
  <si>
    <t>SE REALIZA AJUSTE EN EL SISTEMA DE DIRECCION</t>
  </si>
  <si>
    <t>02 BIELAS UPPER, 02 BIELA LOWER, 04 PASADORES BIELAS, 04 BUJES CP, 08 ARANDELAS CK, 04 ACOPLE GRASERAS</t>
  </si>
  <si>
    <t>COT No. 250866</t>
  </si>
  <si>
    <t>02 RODILLOS DE AGUJAS, 01 SPLINDER, 01 RODAMIENTO AXIAL, 04 SHIM AJUSTE</t>
  </si>
  <si>
    <t>COT No. 250862</t>
  </si>
  <si>
    <t>REPORTAN RUIDO EN RUEDA IZQUIERDA, SE DESMONTA ENCONTRANDO RIN ROTO, SE PROCEDE A REPARACION.</t>
  </si>
  <si>
    <t>SERVICIO DE SOLDADURA</t>
  </si>
  <si>
    <t>COT No. 250863</t>
  </si>
  <si>
    <t>ELECTRONICO</t>
  </si>
  <si>
    <t>REPORTAN CODIGO DE ERROR H2-4,  SE REALIZA LIMPIEZA Y VERIFICACION DEL CABLEADO DEL SENSOR</t>
  </si>
  <si>
    <t>COT No. 250945</t>
  </si>
  <si>
    <t>REPORTAN CODIGO DE ERROR H2-4, SE REALIZA AJUSTE Y CALIBRACION DE PARAMETROS DEL SENSOR DE ANGULO DE INCLINACION(SE SOLICITA SENSOR POR IMPORTACION</t>
  </si>
  <si>
    <t>REPORTAN QUE EL EQUIPO NO ENCIENDE, SE REALIZA REVISIÓN DE LA BATERIA, MEDICIÓN DE LA TENSIÓN ENCONTRANDO POSTE Y PUENTE DE UNA CELDA ROTO, SE REALIZA CAMBIO DE BATERÍA DEJANDOLO OPERATIVO</t>
  </si>
  <si>
    <t>01 PUENTE BATERIA</t>
  </si>
  <si>
    <t>COT No. 250946</t>
  </si>
  <si>
    <t>REPORTANTAN EQUIPO FUERA DE SERVICIO POR TERMINAL DE LA DIRECCIÓN ROTA, SE REALIZA REVISIÓN DEL SISTEMA DE DIRECCIÓN REPARACIÓN Y CAMBIO DE COMPONENTES</t>
  </si>
  <si>
    <t>03 TERMINALES LH, 03 TERMINALES RH, 02 KING PINK, 02 SPLINDER, 01 KING PINK BELCRAM, 01 SPLINDER BELCRAM, 04 SHIN AJUSTE CACHOS, 02 BUJES PIVOTE, SHIM AJUSTE TANDEM, 12 PERNOS BOCIM, 12 TUERCAS PERNOS, 12 TUERCAS, 04 GRASERAS, 02 ARANDELAS AJUSTE TANDEM</t>
  </si>
  <si>
    <t>COT No. 250950</t>
  </si>
  <si>
    <t>REP. PLANIFICADO</t>
  </si>
  <si>
    <t>SE REALIZA AJUSTE DEL SISTEMA DE DIRECCION, MTTO Y REPARACION DEL SISTEMA LPG, REPARACION SISTEMA DE FRENO, SINCRONIZACION DEL MOTOR</t>
  </si>
  <si>
    <t>02 KIT KING PINK, 02 SPLINDER, 02 BIUELAS UPPER, 02 BIELAS LOWER, 04 BUJES, 08 ARANDELAS, 04 PASADORES, 02 BUJES PIVOTE, 04 GRASERAS, 12 PERNOS, 12 TUERCAS, 02 ARANDELAS AJUSTE CACHOS, 02 ARANDELAS AJUSTE TANDEM,02 CILINDRO RUEDA, 01 GUAYA PEDAL ACERCAMIENTO, 04 BANDAS FRENO, 04 DESLIZADORES UPPER SIDESHIFT, 02 DESLIZADORES LOWER,</t>
  </si>
  <si>
    <t>COT No. 250951</t>
  </si>
  <si>
    <t>SE REALIZA REPARACION DEL SISTEMA DE FRENOS, REPARACION DEL SISTEMA DE LUCES, CAMBIO GUAYA ACELERADOR</t>
  </si>
  <si>
    <t>02 GUAYA DE FRENO LH - RH, 04 BANDAS FRENO, 02 STOP COMPLETO, 01 LUZ ESTROBER, 01 GUAYA ACELERADOR</t>
  </si>
  <si>
    <t>REPORTAN QUE NO TIENE FUERZA PARA LA ELEVACION, SE REALIZA REVSION ENCONTRANDO CABLE DE LA BUJÍA SUELTO DEL CILINDRO No. 02 DEL MOTOR SE REALIZA CORRECCION DEJANDO EL EQUIPO OPERATIVO.</t>
  </si>
  <si>
    <t>REPORTAN EQUIPO SIN FUERZA EN EL HIDRAULICO, SE REALIZA REVISION Y DIAGNOSTICO A LA BOMBA, SE REALIZA MONTAJE DE UNA EN CALIDAD DE PRESTAMO</t>
  </si>
  <si>
    <t>01 BOMBA HD</t>
  </si>
  <si>
    <t>COT No. 250942</t>
  </si>
  <si>
    <t>REPORTAN EL EQUIPO FUERA DE SERVICIO POR CAIDA DEL SOPORTE DE CADENAS Y MANGUERA, SE REALIZA EXTRACCION DEL TORNILLO ROTO, INSTALACION DE SOPORTE Y CABEZAL DEL CILINDRO CENTRAL DEL MASTIL</t>
  </si>
  <si>
    <t>01 TORNILLO M10X1.5 70MM</t>
  </si>
  <si>
    <t>REPORTAN QUE EL EQUIPO NO ENCIENDE, SE REALIZA CAMBIO DE LOS SENSORES DEL CIGÜEÑAL Y ARBOL DE LEVAS, CAMBIO DE LA EMPAQUETADURA DEL REGULADOR DEL SISTEMA DEL GAS LPG, POR GARANTÍA.</t>
  </si>
  <si>
    <t>01 SENSOR CKP, 01  SENSOR CPM</t>
  </si>
  <si>
    <t>COT No. 250952</t>
  </si>
  <si>
    <t>REPORTAN EQUIPO CON FALTAN DE FUERZA, SE REALIZA AJUSTE EN EL DISTRIBUIDOR DE CORRIENTE PARA ADELANTAR LA CHISPA Y MENJORAR EL RENDIMIENTO DEL MOTOR.</t>
  </si>
  <si>
    <t>REPORTAN EQUIPO FUERA DE SERVICIO POR PASO DE GAS, SE REALIZA CAMBIO DE EMPAQUES AL SISTEMA LPG Y ROTOR AL DISTRIBUIDOR DE CORRIENTE</t>
  </si>
  <si>
    <t>01 KIT EMPAQUES SISTEMA LPG, 01  ROTOR DE CORRIENTE</t>
  </si>
  <si>
    <t>COT No. 251015</t>
  </si>
  <si>
    <t>REPORTAN FRENO DE PARQUEO FUERA DE SERVICIO, SE INSTALA GAYA SUELTA</t>
  </si>
  <si>
    <t>SE EVIDENCIA FALLA EN MANGUERA SUPERIOR RADIADOR SE REALIZA CAMBIO, SE NIVELA REFRIGERNTE</t>
  </si>
  <si>
    <t xml:space="preserve">01 MANGUERA SUPERIOR RADIADOR 01 GALON REFRIGERANTE </t>
  </si>
  <si>
    <t>COT No. 251047</t>
  </si>
  <si>
    <t xml:space="preserve">INSTALACIÓN SENSOR DE INCLINACIÓN </t>
  </si>
  <si>
    <t>SENSOR DE INCLINACIÓN</t>
  </si>
  <si>
    <t>SE EVIDENCIA RIN DE RUEDA DIRECCIÓN AVERIADO, SE PROCEDE A RELIZAR CAMBIO  CON SUS RESPECTIVOS PERNOS DE BOCIM</t>
  </si>
  <si>
    <t xml:space="preserve">12 PERNOS, 12 TUERCAS </t>
  </si>
  <si>
    <t xml:space="preserve">SE EVIDENCIA DAÑO EN MANGUERA SUPERIOR RADIADOR, SE RELIZA CAMBIO DE MANGUERA NIVELACIÓN DE REFRIGERANTE </t>
  </si>
  <si>
    <t xml:space="preserve">01  MANGUERA SUPERIOR RADIADOR 01 GALON REFRIGERANTE </t>
  </si>
  <si>
    <t>COT No. 251049</t>
  </si>
  <si>
    <t xml:space="preserve">INSTALACIÓN DE KIT VELOCIMETRO LUZ DE SEGIRIDAD DE ARACO </t>
  </si>
  <si>
    <t xml:space="preserve">KIT VELOCIMETRO, LUZ DE SEGURIDAD DE ARCO </t>
  </si>
  <si>
    <t>COT No. 250755</t>
  </si>
  <si>
    <t xml:space="preserve">CAMBIO CORREA DE REPARTICIÓN </t>
  </si>
  <si>
    <t>CORREA DE REPARTICIÓN</t>
  </si>
  <si>
    <t>COT No. 251048</t>
  </si>
  <si>
    <t xml:space="preserve">NIVELACIÓN AGUA DE BATERIA </t>
  </si>
  <si>
    <t>CAMBIO DE CILINDRO INCLINACIÓN</t>
  </si>
  <si>
    <t>01 KIT EMPAQUETADURA CILINDRO INCLINACIÓN</t>
  </si>
  <si>
    <t>COT No. 251050</t>
  </si>
  <si>
    <t>CAMBIO DE RODAMIENTO AXIAL DE PUENTE DE DIRRECCIÓN</t>
  </si>
  <si>
    <t>01 RODAMIENTO AXIAL</t>
  </si>
  <si>
    <t>COT No. 251051</t>
  </si>
  <si>
    <t xml:space="preserve">REVISIÓN DE BATERIA </t>
  </si>
  <si>
    <t xml:space="preserve">REVISIÓN DE FUGA CAMBIO DE MANGUERA HIDRULICA </t>
  </si>
  <si>
    <t xml:space="preserve">MANGUERA HIDRAULICA </t>
  </si>
  <si>
    <t>COT No. 251112</t>
  </si>
  <si>
    <t xml:space="preserve">FALLA EN SISTEMA ELECTRICO  FUSIBLES </t>
  </si>
  <si>
    <t>FUSIBLES  10A</t>
  </si>
  <si>
    <t xml:space="preserve"> LUB DE CADENAS, 01 LIMP MULTIPROPOSITO, 01 GRASA HHS 500, 01 GRASA, 01  ESTOPA, 02 ACEITE HD ISO 68X5/GAL, 01 FILTRO HD,   CAMPANAS EXT.</t>
  </si>
  <si>
    <t>SUMINISTRO Y CAMBIO SILLA OPERARIO</t>
  </si>
  <si>
    <t>01 SILLA OPERARIO</t>
  </si>
  <si>
    <t>COT No. 250937</t>
  </si>
  <si>
    <t xml:space="preserve">REVISIÓN DE SISTEMA ELECTRICO CAMBIO DE FUSIBLE </t>
  </si>
  <si>
    <t xml:space="preserve">DETECCIÓN DE FUGA EN SISTEMA HIDRULICO DESMONTAJE DE CILINDRO INCLINACIÓN REPARACIÓN Y MONTAJE </t>
  </si>
  <si>
    <t>COT No. 251106</t>
  </si>
  <si>
    <t xml:space="preserve">DETECCIÓN DE FALLA EN SISTEMA DE COMBUSTIBLE SE ENCUENTRA FALLA EN VAPORIZADOR Y FILTRO DEBIDO A CONTAMINACIÓN POR IMPUREZAS EN EL COMBUSTIBLE, CAMBIO DE EMPAQUETADURAS </t>
  </si>
  <si>
    <t xml:space="preserve">KIT DE EMPAQUETADURAS RACORES PEGANTES </t>
  </si>
  <si>
    <t>COT No. 251105</t>
  </si>
  <si>
    <t>SUMINISTRO E INSTALACIÓN DE RUEDAS DE DIRECCIÓN Y DELANTERAS AJUSTE ASEGURANDO SU CORRECTO FUNCIONAMIENTO</t>
  </si>
  <si>
    <t>RUEDAS DELANTERAS, RUEDAS DE DIRECCIÓN SERVICIO DE PRENSA HIDRAULICA</t>
  </si>
  <si>
    <t>COT No. 250876</t>
  </si>
  <si>
    <t xml:space="preserve">SE REALIZA REVISION DE FRENOS ENCONTRANDO DESGAST EN BANDAS Y CAMPANAS CILINDROS SE PROCEDE A ISTALAR BANDAS Y CILINDROS NUEVOS ARAMAR ASEGURANDO SU CORRECTO FUNCINAMIENTO </t>
  </si>
  <si>
    <t xml:space="preserve">KIT DE BANDAS, CILINDROS DE RUEDAS RETEDNEDORES DE EJE RETENEDORES DE CAMPANA, LIQUIDO DE FRENO , GRASA ALTA TEMPERATURA </t>
  </si>
  <si>
    <t>COT No. 251110</t>
  </si>
  <si>
    <t xml:space="preserve">SE REALIZA DESMONTAJE DE PORTA HORQUILLAS PARA CAMBIO DE RODAMIENTOS Y AJUSTE, CAMBIO DE DESLIZADORES </t>
  </si>
  <si>
    <t xml:space="preserve">04 RODAMIENTOS CARRO PORTA HORQUILLAS (4) KIT LAINAS DE AJUSTE (1) </t>
  </si>
  <si>
    <t>COT No. 251149</t>
  </si>
  <si>
    <t xml:space="preserve">CAMBIO DE KIT PTO </t>
  </si>
  <si>
    <t>KIT PTO PIÑONES CADENA</t>
  </si>
  <si>
    <t>COT No. 250938</t>
  </si>
  <si>
    <t xml:space="preserve">CAMBIO MANGUERA HIDRUAULICA DE RETORNO BOMBA </t>
  </si>
  <si>
    <t xml:space="preserve">01 MANGUERA HIDRULICA DE SUCCION </t>
  </si>
  <si>
    <t>COT No. 251104</t>
  </si>
  <si>
    <t xml:space="preserve">SE REALIZA MANTENIMIENTO DE 1000 HORAS </t>
  </si>
  <si>
    <t xml:space="preserve">SE REALIZA MANTENIMIENTO DE 2000 HORAS </t>
  </si>
  <si>
    <t>M3 (2000)</t>
  </si>
  <si>
    <t xml:space="preserve">SE REALIZA MANTENIMIENTO 250 HORAS </t>
  </si>
  <si>
    <t xml:space="preserve">CAMBIO DE LUCES </t>
  </si>
  <si>
    <t xml:space="preserve">LUCES EXPLORADORAS </t>
  </si>
  <si>
    <t>COT No. 251111</t>
  </si>
  <si>
    <t>AJUSTE DE GUAYA DE FRENO</t>
  </si>
  <si>
    <t xml:space="preserve">CAMBIO DE GUAYA ACELERADOR Y LEVA IMPULSORA </t>
  </si>
  <si>
    <t>GUAYA ACELERADOR LEVA IMPULSORA</t>
  </si>
  <si>
    <t>COT No. 251217</t>
  </si>
  <si>
    <t>SE REPORTA FUGA POR SITEMA HIDRAULICO-SE REPARÓ TUBERIA SIDE SHIFT</t>
  </si>
  <si>
    <t>SERVICIO REPARACIÓN</t>
  </si>
  <si>
    <t>COT No. 251218</t>
  </si>
  <si>
    <t xml:space="preserve">GRADUACIÓN SISTEMA DE FRENOS </t>
  </si>
  <si>
    <t>REVISIÓN FRNO DE MANO</t>
  </si>
  <si>
    <t xml:space="preserve">FALLA EN SISTEMA DE GAS </t>
  </si>
  <si>
    <t xml:space="preserve">CORRECCIÓN DE FALLA EN SISTEMA DE GAS </t>
  </si>
  <si>
    <t>COT No. 251219</t>
  </si>
  <si>
    <t xml:space="preserve">FALLA EN CAPOT DESOLDADO </t>
  </si>
  <si>
    <t>REPARACIÓN DE CAPOT RECONSTRUCCIÓN DE SOLDADURA EN LAS VISAGRAS DE SUJECIÓN INSTALACIÓN PUESTA EN FUNCIONAMIENTO</t>
  </si>
  <si>
    <t>COT No. 251220</t>
  </si>
  <si>
    <t>CAMBIO DE SIILA OPERARIO GRIFO DE DESFOGUE SERVO TRANSMISIÓN CORREA ALTERNADOR</t>
  </si>
  <si>
    <t>01 SILLA OPERARIO, 01 TAPON DESFOGUE</t>
  </si>
  <si>
    <t>COT No. 251225</t>
  </si>
  <si>
    <t>FALLA EN MASTIL FUGA DE HIDRAULICO</t>
  </si>
  <si>
    <t xml:space="preserve"> 02 CILINDRO DE INCLINACIÓN</t>
  </si>
  <si>
    <t>COT No. 251224</t>
  </si>
  <si>
    <t xml:space="preserve">FRENO DE ESTACIONAMIENTO DEFECTUOSO </t>
  </si>
  <si>
    <t xml:space="preserve">CAOMBI DE PEDAL COMPLETO DE FRENO  DE ESTACIONAMIENTO </t>
  </si>
  <si>
    <t>COT No. 251226</t>
  </si>
  <si>
    <t xml:space="preserve">FUGA SISTEMA HIDRAULICO </t>
  </si>
  <si>
    <t xml:space="preserve">DESMONTAJE DE CILINDRO INCLINACION IZQUIERDO PARA REPRACION MONTAJE DESPUES DE REPARADO, CROMADO DE BARRA EMPAQUETADURA BRUÑIDO DE CAMISA </t>
  </si>
  <si>
    <t>COT No. 251227</t>
  </si>
  <si>
    <t xml:space="preserve">FALLA EN ALTERNADOR </t>
  </si>
  <si>
    <t xml:space="preserve">ALTERNADOR REPARADO  </t>
  </si>
  <si>
    <t>COT No. 251228</t>
  </si>
  <si>
    <t>SE REALIZA MANTENIMIENTO PREVENTIVO</t>
  </si>
  <si>
    <t xml:space="preserve">LUBRICANTE ROST-OFF GRASA HHS-500 LIMPIADOR MULTIPROPÓSITO, LUBRICACIÓN DE PARTES MOVILES LIMPIADOR DE CONTACTOS </t>
  </si>
  <si>
    <t xml:space="preserve">FALLA ENNACOPLE SISTEMA DE GAS </t>
  </si>
  <si>
    <t xml:space="preserve">CORRECION DE FALLA AJUSTE DE COMPONEBNTE </t>
  </si>
  <si>
    <t>RUEDAS DE DIRECCION CON DESGASTE</t>
  </si>
  <si>
    <t>SERVICIO DE PRENSA HIDRAULICA, RINES 600.9 (2) RUEDAS 600.9 SOLIDEAL (2)</t>
  </si>
  <si>
    <t>COT No. 250708</t>
  </si>
  <si>
    <t>SOBRECALENTAMIENTO</t>
  </si>
  <si>
    <t>NIVELACION DE REFRIGERANTE PURGA DEL SISTEMA DE REFIGERACION</t>
  </si>
  <si>
    <t xml:space="preserve">FUGA CILINDRO DE DIRECCION </t>
  </si>
  <si>
    <t>REPORTAN GOLPE EN HORQUILLAS</t>
  </si>
  <si>
    <t xml:space="preserve">REVISION DE EQUIPO DESMONTAJE DE CAMPANAS PARA REVISION DE FRENOS </t>
  </si>
  <si>
    <t xml:space="preserve">FALLA EN SITEMA DE FRENOS </t>
  </si>
  <si>
    <t xml:space="preserve">DESMONTAJE DE CAMPANAS PARA REVISIÓN SISTEMA DE FRENOS CAMBIO DE RETENEDORES DE CAMPANA (2)  DE EJE (2)  KIT DE BANDAS (2) CILINDROS DE FRENO  (2)  RODAMIENTOS CONICOS (4) </t>
  </si>
  <si>
    <t>FALLA EN TORNILLO HOUSING</t>
  </si>
  <si>
    <t xml:space="preserve">REVISION Y DIAGNOSTICO SE ENCONTRO TORNILLO DE HOUSING DESAJUSTADO DESMONTAJE DE MATIL Y HOUSING PARA MECANIZADO TRASLADO DE COMPONENTE FABRICACION DE TORNILLO EN MATERIAL EPECIAL AJUSTE DE CAVIDAD RECTIFICADO DE EJE </t>
  </si>
  <si>
    <t>COT No. 260137</t>
  </si>
  <si>
    <t xml:space="preserve">MANTENIMIENTO DE 2000 HORAS REVISION DE TODOS LOS SITEMAS CAMBIO DE FLUIDOS ACEITE HIDARULOCO ISO 68 20 GALONES ACEITE 80W90 X 2 GALONES LIQUIDO DE FRENOS X 2 PINTAS ACEITE DE MOTOR X 1 GALON REFRIFGERANTE X 2 GALONES TAPA RADIADOR X 1  KIT DE SINCRONIZACION BUJIAS EMPAQUETADURA DE GAS ACEITE ATF III X 8/4 FILTROS DE AIRE X2 FILTRO ACEITE MOTOR FILTRO DE HIDRAULICO FILTRO SERVOTRANSMISION </t>
  </si>
  <si>
    <t xml:space="preserve">SE REALIZA MANTENIEMIENTO PREVENTIVO </t>
  </si>
  <si>
    <t xml:space="preserve">CAMBIO SILLA OPERARIO RUEDAS DEDIRECCION </t>
  </si>
  <si>
    <t>COT No. 251232</t>
  </si>
  <si>
    <t xml:space="preserve">RUEDAS CON DESGSTE CAMBIO DE RUEDAS DE CARGA Y DE DIRECCION CON RINES </t>
  </si>
  <si>
    <t>RUEDAS 700X12 (2) RUEDAS 600X9 (2) RINES PARA RUEDAS 600XC9 (2)</t>
  </si>
  <si>
    <t>COT No. 251078</t>
  </si>
  <si>
    <t xml:space="preserve">FALLA EN SISTEMA DE FENOS </t>
  </si>
  <si>
    <t xml:space="preserve">DESMONTAJE DE CAMPANAS SE ENCUNTRA CONTAMINADO CON ACEITE POR FALLA EN RETENEDOR DE EJE SE PROCEDE A LAVADO Y REEMPLAZO DEL MISMO </t>
  </si>
  <si>
    <t>GARANTIA</t>
  </si>
  <si>
    <t xml:space="preserve">NOVEDAD CON LOS FRENOS </t>
  </si>
  <si>
    <t xml:space="preserve">SE REALIZA CALIBRACION DE MECANISMO DE EXPANSION </t>
  </si>
  <si>
    <t>FALLA TORNILLO HOUSING</t>
  </si>
  <si>
    <t xml:space="preserve">SE REALIZA INSTALACION DE HUISING ASEGURANDO SU CORRECTO FUNCINAMIENTO </t>
  </si>
  <si>
    <t xml:space="preserve">FALLA EN ENCENDIDO Y FUERZA </t>
  </si>
  <si>
    <t xml:space="preserve">SE REVISA FALLA EN AENCENDIDO CAMBIO DE ENPAQUETADURA SISTEMA DE GAS, CAMBIO DE MOTOR DE ARRANQUE DESMONTAJE CE CULATA CAMBIO DE SELLOS Y SENTADO DE VALVULA CAMBIO DE ENPAQUE CULATA AJUSTE PUESTA EN FUNCIONAMIENTO SE CORRIGE DAÑO EN HORQUILLAS </t>
  </si>
  <si>
    <t>COT No. 260141</t>
  </si>
  <si>
    <t xml:space="preserve">FALLA EN RADIADOR FUGA </t>
  </si>
  <si>
    <t xml:space="preserve">DESMONTAJE DE RADIADOR PARA CORRECIION DE FUGA REPARACION MONTAJE DESPUES E REPARADO ENTREGA DE EQUIPO ASEGURANDO SU CORRECTO FUNCIONAMIENTO </t>
  </si>
  <si>
    <t>COT No. 260156</t>
  </si>
  <si>
    <t xml:space="preserve">DESONTAJE DE CULATA PARA CAMBIO DE SELLOS EMPAQUE CULATA AJUSTE ASEGURANDO SU CORRECTO FUNCIONAMIENTO </t>
  </si>
  <si>
    <t>COT No. 260158</t>
  </si>
  <si>
    <t xml:space="preserve">FALLA EN ENCENDIDO </t>
  </si>
  <si>
    <t xml:space="preserve">REVISION Y DIAGNOSTICO CAMBIO DE MOTOR DE ARRANQUE </t>
  </si>
  <si>
    <t>COT No. 260159</t>
  </si>
  <si>
    <t>FALLA STOP</t>
  </si>
  <si>
    <t>CAMBIO DE TAPAS STOP CILINDRO CAPO</t>
  </si>
  <si>
    <t>COT No. 260162</t>
  </si>
  <si>
    <t>CIERRE DE AÑO</t>
  </si>
  <si>
    <t>Enero</t>
  </si>
  <si>
    <t>Febrero</t>
  </si>
  <si>
    <t>Marzo</t>
  </si>
  <si>
    <t>Abril</t>
  </si>
  <si>
    <t>Mayo</t>
  </si>
  <si>
    <t>Junio</t>
  </si>
  <si>
    <t>Julio</t>
  </si>
  <si>
    <t>Agosto</t>
  </si>
  <si>
    <t>Septiembre</t>
  </si>
  <si>
    <t>Octubre</t>
  </si>
  <si>
    <t>Noviembre</t>
  </si>
  <si>
    <t>Diciembre</t>
  </si>
  <si>
    <t>INDICADORES DE GESTIÓN</t>
  </si>
  <si>
    <t>MES:</t>
  </si>
  <si>
    <t>MTTR</t>
  </si>
  <si>
    <t>DISPONIBILIDAD</t>
  </si>
  <si>
    <t>GENERAL</t>
  </si>
  <si>
    <t>EQUIPOS</t>
  </si>
  <si>
    <t>CONSOLIDADO</t>
  </si>
  <si>
    <t>PROGRAMADO</t>
  </si>
  <si>
    <t>T. SUSP. AVERIAS (hs)</t>
  </si>
  <si>
    <t>T. MANTENIMIENTO (hs)</t>
  </si>
  <si>
    <t>T. TOTAL SUSPEND (hs)</t>
  </si>
  <si>
    <t>AVERIAS</t>
  </si>
  <si>
    <t>OPERACIÓN REAL</t>
  </si>
  <si>
    <t>ENERO</t>
  </si>
  <si>
    <t>FEBRERO</t>
  </si>
  <si>
    <t>MARZO</t>
  </si>
  <si>
    <t>FALLA</t>
  </si>
  <si>
    <t>ACUMULADO</t>
  </si>
  <si>
    <t>ABRIL</t>
  </si>
  <si>
    <t>MAYO</t>
  </si>
  <si>
    <t>JUNIO</t>
  </si>
  <si>
    <t>JULIO</t>
  </si>
  <si>
    <t>AGOSTO</t>
  </si>
  <si>
    <t>SEPTIEMBRE</t>
  </si>
  <si>
    <t>OCTUBRE</t>
  </si>
  <si>
    <t>NOVIEMBRE</t>
  </si>
  <si>
    <t>DICIEMBRE</t>
  </si>
  <si>
    <t>Version 3. Ultima modificacion:</t>
  </si>
  <si>
    <t>TIEMPO PLAN (hrs)</t>
  </si>
  <si>
    <t>TIEMPO MUERTO (hrs)</t>
  </si>
  <si>
    <t>TIEMPO REAL DISPONIBLE (hrs)</t>
  </si>
  <si>
    <t>TOTAL AVERÍAS</t>
  </si>
  <si>
    <t>TOTAL GRAL</t>
  </si>
  <si>
    <t>TOTAL</t>
  </si>
  <si>
    <t>AVERÍAS</t>
  </si>
  <si>
    <t>TIEMPO MUERTO</t>
  </si>
  <si>
    <t>SISTEMA</t>
  </si>
  <si>
    <t>RUTINA DE PREVENTIVO</t>
  </si>
  <si>
    <t>FACTURADO</t>
  </si>
  <si>
    <t>SOLPED</t>
  </si>
  <si>
    <t>OH (OVERHAUL)</t>
  </si>
  <si>
    <t xml:space="preserve">SILLA OPERARIO CON SUSPENSION RUEDAS DE DIRECCION 600X9 </t>
  </si>
  <si>
    <t xml:space="preserve">SE REALIZA MTTO PREVENTIVO </t>
  </si>
  <si>
    <t>GARANTÍA</t>
  </si>
  <si>
    <t xml:space="preserve">DESMONATAJE DE CILINDRO DE DIRECCION PARA REPARACION MONTAJE DESPUES DE REPARADO </t>
  </si>
  <si>
    <t>Etiquetas de fila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</si>
</sst>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44" formatCode="_-&quot;$&quot;\ * #,##0.00_-;\-&quot;$&quot;\ * #,##0.00_-;_-&quot;$&quot;\ * &quot;-&quot;??_-;_-@_-"/>
    <numFmt numFmtId="164" formatCode="_-&quot;$&quot;\ * #,##0_-;\-&quot;$&quot;\ * #,##0_-;_-&quot;$&quot;\ * &quot;-&quot;??_-;_-@_-"/>
  </numFmts>
  <fonts count="19"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8"/>
      <name val="Calibri"/>
      <family val="2"/>
      <scheme val="minor"/>
    </font>
    <font>
      <sz val="20"/>
      <color theme="1"/>
      <name val="Calibri"/>
      <family val="2"/>
      <scheme val="minor"/>
    </font>
    <font>
      <sz val="14"/>
      <color theme="1"/>
      <name val="Calibri"/>
      <family val="2"/>
      <scheme val="minor"/>
    </font>
    <font>
      <b/>
      <sz val="18"/>
      <color theme="0"/>
      <name val="Calibri"/>
      <family val="2"/>
      <scheme val="minor"/>
    </font>
    <font>
      <sz val="9"/>
      <color indexed="81"/>
      <name val="Tahoma"/>
      <family val="2"/>
    </font>
    <font>
      <b/>
      <sz val="9"/>
      <color indexed="81"/>
      <name val="Tahoma"/>
      <family val="2"/>
    </font>
    <font>
      <sz val="11"/>
      <name val="Calibri"/>
      <family val="2"/>
      <scheme val="minor"/>
    </font>
    <font>
      <sz val="8"/>
      <color theme="1"/>
      <name val="Calibri"/>
      <family val="2"/>
      <scheme val="minor"/>
    </font>
    <font>
      <sz val="18"/>
      <color theme="1"/>
      <name val="Calibri"/>
      <family val="2"/>
      <scheme val="minor"/>
    </font>
    <font>
      <b/>
      <sz val="11"/>
      <color theme="1"/>
      <name val="Calibri"/>
      <family val="2"/>
      <scheme val="minor"/>
    </font>
    <font>
      <b/>
      <sz val="26"/>
      <color theme="1"/>
      <name val="Calibri"/>
      <family val="2"/>
      <scheme val="minor"/>
    </font>
    <font>
      <u/>
      <sz val="11"/>
      <color theme="10"/>
      <name val="Calibri"/>
      <family val="2"/>
      <scheme val="minor"/>
    </font>
    <font>
      <sz val="11"/>
      <color rgb="FF000000"/>
      <name val="Aptos"/>
      <family val="2"/>
    </font>
    <font>
      <sz val="11"/>
      <color rgb="FF000000"/>
      <name val="Calibri"/>
      <family val="2"/>
      <scheme val="minor"/>
    </font>
    <font>
      <b/>
      <sz val="36"/>
      <color rgb="FFFF0000"/>
      <name val="Calibri"/>
      <family val="2"/>
      <scheme val="minor"/>
    </font>
  </fonts>
  <fills count="17">
    <fill>
      <patternFill patternType="none"/>
    </fill>
    <fill>
      <patternFill patternType="gray125"/>
    </fill>
    <fill>
      <patternFill patternType="solid">
        <fgColor theme="6"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rgb="FFFFC719"/>
        <bgColor indexed="64"/>
      </patternFill>
    </fill>
    <fill>
      <patternFill patternType="solid">
        <fgColor theme="8" tint="-0.249977111117893"/>
        <bgColor indexed="64"/>
      </patternFill>
    </fill>
    <fill>
      <patternFill patternType="solid">
        <fgColor theme="2"/>
        <bgColor indexed="64"/>
      </patternFill>
    </fill>
    <fill>
      <patternFill patternType="solid">
        <fgColor rgb="FF0070C0"/>
        <bgColor indexed="64"/>
      </patternFill>
    </fill>
    <fill>
      <patternFill patternType="solid">
        <fgColor theme="7"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diagonal/>
    </border>
    <border>
      <left/>
      <right style="thin">
        <color theme="0"/>
      </right>
      <top/>
      <bottom/>
      <diagonal/>
    </border>
    <border>
      <left/>
      <right/>
      <top/>
      <bottom style="thin">
        <color theme="1"/>
      </bottom>
      <diagonal/>
    </border>
    <border>
      <left style="thin">
        <color theme="1"/>
      </left>
      <right style="thin">
        <color theme="0"/>
      </right>
      <top style="thin">
        <color theme="1"/>
      </top>
      <bottom/>
      <diagonal/>
    </border>
    <border>
      <left style="thin">
        <color theme="0"/>
      </left>
      <right style="thin">
        <color theme="0"/>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
      <left style="thin">
        <color theme="0"/>
      </left>
      <right style="thin">
        <color theme="1"/>
      </right>
      <top style="thin">
        <color theme="1"/>
      </top>
      <bottom/>
      <diagonal/>
    </border>
    <border>
      <left/>
      <right/>
      <top style="thin">
        <color theme="1"/>
      </top>
      <bottom/>
      <diagonal/>
    </border>
    <border>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thin">
        <color indexed="64"/>
      </right>
      <top/>
      <bottom/>
      <diagonal/>
    </border>
    <border>
      <left/>
      <right style="thin">
        <color indexed="64"/>
      </right>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15" fillId="0" borderId="0" applyNumberFormat="0" applyFill="0" applyBorder="0" applyAlignment="0" applyProtection="0"/>
  </cellStyleXfs>
  <cellXfs count="91">
    <xf numFmtId="0" fontId="0" fillId="0" borderId="0" xfId="0"/>
    <xf numFmtId="0" fontId="0" fillId="2" borderId="0" xfId="0" applyFill="1"/>
    <xf numFmtId="0" fontId="0" fillId="3" borderId="0" xfId="0" applyFill="1"/>
    <xf numFmtId="0" fontId="0" fillId="4" borderId="0" xfId="0" applyFill="1"/>
    <xf numFmtId="0" fontId="3" fillId="5" borderId="0" xfId="0" applyFont="1" applyFill="1"/>
    <xf numFmtId="0" fontId="0" fillId="6" borderId="0" xfId="0" applyFill="1"/>
    <xf numFmtId="0" fontId="0" fillId="7" borderId="0" xfId="0" applyFill="1"/>
    <xf numFmtId="0" fontId="0" fillId="8" borderId="0" xfId="0" applyFill="1"/>
    <xf numFmtId="0" fontId="0" fillId="11" borderId="0" xfId="0" applyFill="1"/>
    <xf numFmtId="0" fontId="0" fillId="0" borderId="0" xfId="0" applyAlignment="1">
      <alignment horizontal="center"/>
    </xf>
    <xf numFmtId="0" fontId="0" fillId="9" borderId="0" xfId="0" applyFill="1"/>
    <xf numFmtId="164" fontId="0" fillId="0" borderId="0" xfId="2" applyNumberFormat="1" applyFont="1" applyAlignment="1">
      <alignment horizontal="center"/>
    </xf>
    <xf numFmtId="164" fontId="0" fillId="0" borderId="0" xfId="2" applyNumberFormat="1" applyFont="1"/>
    <xf numFmtId="0" fontId="0" fillId="0" borderId="0" xfId="0" applyAlignment="1">
      <alignment horizontal="left" vertical="center" wrapText="1"/>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vertical="center"/>
    </xf>
    <xf numFmtId="0" fontId="0" fillId="0" borderId="0" xfId="0" applyAlignment="1">
      <alignment horizontal="center" vertical="center" wrapText="1"/>
    </xf>
    <xf numFmtId="164" fontId="0" fillId="0" borderId="0" xfId="2" applyNumberFormat="1" applyFont="1" applyAlignment="1">
      <alignment horizontal="center" vertical="center"/>
    </xf>
    <xf numFmtId="14" fontId="0" fillId="0" borderId="0" xfId="0" applyNumberFormat="1" applyAlignment="1">
      <alignment vertical="center"/>
    </xf>
    <xf numFmtId="164" fontId="0" fillId="0" borderId="0" xfId="2" applyNumberFormat="1" applyFont="1" applyAlignment="1">
      <alignment vertical="center"/>
    </xf>
    <xf numFmtId="0" fontId="0" fillId="4" borderId="0" xfId="0" applyFill="1" applyProtection="1">
      <protection locked="0"/>
    </xf>
    <xf numFmtId="0" fontId="0" fillId="0" borderId="0" xfId="0" applyProtection="1">
      <protection locked="0"/>
    </xf>
    <xf numFmtId="0" fontId="0" fillId="7" borderId="0" xfId="0" applyFill="1" applyProtection="1">
      <protection locked="0"/>
    </xf>
    <xf numFmtId="0" fontId="0" fillId="10" borderId="1" xfId="0" applyFill="1" applyBorder="1" applyAlignment="1" applyProtection="1">
      <alignment horizontal="center"/>
      <protection locked="0"/>
    </xf>
    <xf numFmtId="0" fontId="0" fillId="9" borderId="1" xfId="0" applyFill="1" applyBorder="1" applyProtection="1">
      <protection locked="0"/>
    </xf>
    <xf numFmtId="0" fontId="0" fillId="7" borderId="1" xfId="0" applyFill="1" applyBorder="1" applyProtection="1">
      <protection locked="0"/>
    </xf>
    <xf numFmtId="14" fontId="11" fillId="7" borderId="0" xfId="0" applyNumberFormat="1" applyFont="1" applyFill="1" applyProtection="1">
      <protection locked="0"/>
    </xf>
    <xf numFmtId="2" fontId="12" fillId="4" borderId="0" xfId="0" applyNumberFormat="1" applyFont="1" applyFill="1" applyAlignment="1">
      <alignment horizontal="center"/>
    </xf>
    <xf numFmtId="0" fontId="6" fillId="4" borderId="0" xfId="0" applyFont="1" applyFill="1"/>
    <xf numFmtId="0" fontId="0" fillId="12" borderId="0" xfId="0" applyFill="1"/>
    <xf numFmtId="0" fontId="0" fillId="9" borderId="1" xfId="0" applyFill="1" applyBorder="1"/>
    <xf numFmtId="0" fontId="0" fillId="7" borderId="1" xfId="0" applyFill="1" applyBorder="1"/>
    <xf numFmtId="0" fontId="2" fillId="5" borderId="0" xfId="0" applyFont="1" applyFill="1"/>
    <xf numFmtId="0" fontId="13" fillId="13" borderId="0" xfId="0" applyFont="1" applyFill="1" applyAlignment="1">
      <alignment horizontal="center" wrapText="1"/>
    </xf>
    <xf numFmtId="0" fontId="13" fillId="13" borderId="2" xfId="0" applyFont="1" applyFill="1" applyBorder="1" applyAlignment="1">
      <alignment horizontal="center" wrapText="1"/>
    </xf>
    <xf numFmtId="0" fontId="13" fillId="13" borderId="3" xfId="0" applyFont="1" applyFill="1" applyBorder="1" applyAlignment="1">
      <alignment horizontal="center" wrapText="1"/>
    </xf>
    <xf numFmtId="0" fontId="0" fillId="13" borderId="3" xfId="0" applyFill="1" applyBorder="1"/>
    <xf numFmtId="0" fontId="13" fillId="14" borderId="0" xfId="0" applyFont="1" applyFill="1"/>
    <xf numFmtId="0" fontId="0" fillId="14" borderId="0" xfId="0" applyFill="1" applyAlignment="1">
      <alignment horizontal="center" vertical="center"/>
    </xf>
    <xf numFmtId="0" fontId="0" fillId="14" borderId="0" xfId="0" applyFill="1"/>
    <xf numFmtId="0" fontId="0" fillId="0" borderId="4" xfId="0" applyBorder="1"/>
    <xf numFmtId="0" fontId="0" fillId="15" borderId="5" xfId="0" applyFill="1" applyBorder="1"/>
    <xf numFmtId="0" fontId="0" fillId="15" borderId="6" xfId="0" applyFill="1" applyBorder="1"/>
    <xf numFmtId="0" fontId="0" fillId="14" borderId="7" xfId="0" applyFill="1" applyBorder="1"/>
    <xf numFmtId="0" fontId="0" fillId="14" borderId="8" xfId="0" applyFill="1" applyBorder="1"/>
    <xf numFmtId="0" fontId="0" fillId="0" borderId="9" xfId="0" applyBorder="1"/>
    <xf numFmtId="0" fontId="0" fillId="0" borderId="10" xfId="0" applyBorder="1"/>
    <xf numFmtId="0" fontId="0" fillId="15" borderId="12" xfId="0" applyFill="1" applyBorder="1"/>
    <xf numFmtId="0" fontId="0" fillId="15" borderId="11" xfId="0" applyFill="1" applyBorder="1"/>
    <xf numFmtId="164" fontId="15" fillId="0" borderId="0" xfId="3" applyNumberFormat="1" applyAlignment="1">
      <alignment horizontal="center" vertical="center"/>
    </xf>
    <xf numFmtId="0" fontId="10" fillId="0" borderId="0" xfId="0" applyFont="1" applyAlignment="1">
      <alignment horizontal="center" vertical="center" wrapText="1"/>
    </xf>
    <xf numFmtId="0" fontId="15" fillId="0" borderId="0" xfId="3" applyAlignment="1">
      <alignment horizontal="center" vertical="center" wrapText="1"/>
    </xf>
    <xf numFmtId="9" fontId="0" fillId="7" borderId="1" xfId="0" applyNumberFormat="1" applyFill="1" applyBorder="1" applyProtection="1">
      <protection locked="0"/>
    </xf>
    <xf numFmtId="9" fontId="0" fillId="7" borderId="1" xfId="0" applyNumberFormat="1" applyFill="1" applyBorder="1"/>
    <xf numFmtId="3" fontId="0" fillId="0" borderId="0" xfId="0" applyNumberFormat="1" applyAlignment="1">
      <alignment horizontal="center" vertical="center"/>
    </xf>
    <xf numFmtId="3" fontId="0" fillId="0" borderId="0" xfId="0" applyNumberFormat="1" applyAlignment="1">
      <alignment horizontal="center" vertical="center" wrapText="1"/>
    </xf>
    <xf numFmtId="3" fontId="0" fillId="0" borderId="0" xfId="2" applyNumberFormat="1" applyFont="1" applyAlignment="1">
      <alignment horizontal="center" vertical="center"/>
    </xf>
    <xf numFmtId="0" fontId="0" fillId="16" borderId="0" xfId="0" applyFill="1"/>
    <xf numFmtId="0" fontId="0" fillId="6" borderId="0" xfId="0" applyFill="1" applyProtection="1">
      <protection locked="0"/>
    </xf>
    <xf numFmtId="0" fontId="2" fillId="5" borderId="0" xfId="0" applyFont="1" applyFill="1" applyAlignment="1">
      <alignment horizontal="center"/>
    </xf>
    <xf numFmtId="0" fontId="0" fillId="4" borderId="0" xfId="0" applyFill="1" applyAlignment="1">
      <alignment horizontal="center"/>
    </xf>
    <xf numFmtId="0" fontId="0" fillId="6" borderId="0" xfId="0" applyFill="1" applyAlignment="1">
      <alignment horizontal="center"/>
    </xf>
    <xf numFmtId="9" fontId="0" fillId="16" borderId="0" xfId="1" applyFont="1" applyFill="1" applyAlignment="1" applyProtection="1">
      <alignment horizontal="center"/>
    </xf>
    <xf numFmtId="0" fontId="0" fillId="16" borderId="0" xfId="0" applyFill="1" applyAlignment="1">
      <alignment horizontal="center"/>
    </xf>
    <xf numFmtId="0" fontId="16" fillId="0" borderId="0" xfId="0" applyFont="1" applyAlignment="1">
      <alignment wrapText="1"/>
    </xf>
    <xf numFmtId="0" fontId="0" fillId="0" borderId="0" xfId="0" applyAlignment="1">
      <alignment vertical="center" wrapText="1"/>
    </xf>
    <xf numFmtId="0" fontId="10" fillId="0" borderId="0" xfId="0" applyFont="1" applyAlignment="1">
      <alignment vertical="center" wrapText="1"/>
    </xf>
    <xf numFmtId="0" fontId="17" fillId="0" borderId="0" xfId="0" applyFont="1" applyAlignment="1">
      <alignment vertical="center" wrapText="1"/>
    </xf>
    <xf numFmtId="0" fontId="0" fillId="0" borderId="0" xfId="0" pivotButton="1"/>
    <xf numFmtId="164" fontId="0" fillId="0" borderId="0" xfId="0" applyNumberFormat="1"/>
    <xf numFmtId="6" fontId="0" fillId="0" borderId="0" xfId="0" applyNumberFormat="1"/>
    <xf numFmtId="0" fontId="13" fillId="0" borderId="0" xfId="0" applyFont="1" applyAlignment="1">
      <alignment horizontal="left" vertical="center" wrapText="1"/>
    </xf>
    <xf numFmtId="164" fontId="0" fillId="0" borderId="0" xfId="2" applyNumberFormat="1" applyFont="1" applyAlignment="1"/>
    <xf numFmtId="3" fontId="0" fillId="0" borderId="0" xfId="0" applyNumberFormat="1"/>
    <xf numFmtId="0" fontId="0" fillId="0" borderId="0" xfId="0" applyAlignment="1">
      <alignment horizontal="left" vertical="center"/>
    </xf>
    <xf numFmtId="164" fontId="0" fillId="0" borderId="0" xfId="2" applyNumberFormat="1" applyFont="1" applyAlignment="1">
      <alignment horizontal="left" vertical="center"/>
    </xf>
    <xf numFmtId="6" fontId="0" fillId="0" borderId="0" xfId="0" applyNumberFormat="1" applyAlignment="1">
      <alignment horizontal="left" vertical="center"/>
    </xf>
    <xf numFmtId="164" fontId="0" fillId="0" borderId="0" xfId="0" applyNumberFormat="1" applyAlignment="1">
      <alignment horizontal="left" vertical="center"/>
    </xf>
    <xf numFmtId="0" fontId="18" fillId="0" borderId="14" xfId="0" applyFont="1" applyBorder="1" applyAlignment="1">
      <alignment horizontal="center" vertical="center"/>
    </xf>
    <xf numFmtId="0" fontId="18" fillId="0" borderId="0" xfId="0" applyFont="1" applyAlignment="1">
      <alignment horizontal="center" vertical="center"/>
    </xf>
    <xf numFmtId="0" fontId="18" fillId="0" borderId="16" xfId="0" applyFont="1" applyBorder="1" applyAlignment="1">
      <alignment horizontal="center" vertical="center"/>
    </xf>
    <xf numFmtId="0" fontId="18" fillId="0" borderId="15" xfId="0" applyFont="1" applyBorder="1" applyAlignment="1">
      <alignment horizontal="center" vertical="center"/>
    </xf>
    <xf numFmtId="0" fontId="18" fillId="0" borderId="13" xfId="0" applyFont="1" applyBorder="1" applyAlignment="1">
      <alignment horizontal="center" vertical="center"/>
    </xf>
    <xf numFmtId="0" fontId="18" fillId="0" borderId="17" xfId="0" applyFont="1" applyBorder="1" applyAlignment="1">
      <alignment horizontal="center" vertical="center"/>
    </xf>
    <xf numFmtId="0" fontId="7" fillId="5" borderId="0" xfId="0" applyFont="1" applyFill="1" applyAlignment="1">
      <alignment horizontal="center"/>
    </xf>
    <xf numFmtId="9" fontId="5" fillId="4" borderId="0" xfId="1" applyFont="1" applyFill="1" applyAlignment="1" applyProtection="1">
      <alignment horizontal="center"/>
    </xf>
    <xf numFmtId="0" fontId="11" fillId="7" borderId="0" xfId="0" applyFont="1" applyFill="1" applyAlignment="1" applyProtection="1">
      <alignment horizontal="center"/>
      <protection locked="0"/>
    </xf>
    <xf numFmtId="0" fontId="0" fillId="4" borderId="0" xfId="0" applyFill="1" applyAlignment="1" applyProtection="1">
      <alignment horizontal="center"/>
      <protection locked="0"/>
    </xf>
    <xf numFmtId="0" fontId="14" fillId="0" borderId="0" xfId="0" applyFont="1" applyAlignment="1">
      <alignment horizontal="center"/>
    </xf>
    <xf numFmtId="0" fontId="0" fillId="0" borderId="0" xfId="0" applyAlignment="1">
      <alignment horizontal="left"/>
    </xf>
  </cellXfs>
  <cellStyles count="4">
    <cellStyle name="Hipervínculo" xfId="3" builtinId="8"/>
    <cellStyle name="Moneda" xfId="2" builtinId="4"/>
    <cellStyle name="Normal" xfId="0" builtinId="0"/>
    <cellStyle name="Porcentaje" xfId="1" builtinId="5"/>
  </cellStyles>
  <dxfs count="17">
    <dxf>
      <numFmt numFmtId="164" formatCode="_-&quot;$&quot;\ * #,##0_-;\-&quot;$&quot;\ * #,##0_-;_-&quot;$&quot;\ * &quot;-&quot;??_-;_-@_-"/>
    </dxf>
    <dxf>
      <numFmt numFmtId="164" formatCode="_-&quot;$&quot;\ * #,##0_-;\-&quot;$&quot;\ * #,##0_-;_-&quot;$&quot;\ * &quot;-&quot;??_-;_-@_-"/>
    </dxf>
    <dxf>
      <numFmt numFmtId="0" formatCode="General"/>
      <alignment horizontal="center" vertical="center" textRotation="0" wrapText="0" indent="0" justifyLastLine="0" shrinkToFit="0" readingOrder="0"/>
    </dxf>
    <dxf>
      <alignment horizontal="center" vertical="bottom" textRotation="0" indent="0" justifyLastLine="0" shrinkToFit="0" readingOrder="0"/>
    </dxf>
    <dxf>
      <alignment horizontal="center" vertical="center" textRotation="0" wrapText="0" indent="0" justifyLastLine="0" shrinkToFit="0" readingOrder="0"/>
    </dxf>
    <dxf>
      <numFmt numFmtId="164" formatCode="_-&quot;$&quot;\ * #,##0_-;\-&quot;$&quot;\ * #,##0_-;_-&quot;$&quot;\ * &quot;-&quot;??_-;_-@_-"/>
      <alignment horizontal="center" vertical="bottom" textRotation="0" wrapText="0" indent="0" justifyLastLine="0" shrinkToFit="0" readingOrder="0"/>
    </dxf>
    <dxf>
      <numFmt numFmtId="3" formatCode="#,##0"/>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alignment horizontal="center" vertical="bottom" textRotation="0" indent="0" justifyLastLine="0" shrinkToFit="0" readingOrder="0"/>
    </dxf>
    <dxf>
      <alignment horizontal="center" vertical="center" textRotation="0" wrapText="0" indent="0" justifyLastLine="0" shrinkToFit="0" readingOrder="0"/>
    </dxf>
    <dxf>
      <alignment horizontal="center" vertical="bottom" textRotation="0" indent="0" justifyLastLine="0" shrinkToFit="0" readingOrder="0"/>
    </dxf>
    <dxf>
      <numFmt numFmtId="19" formatCode="d/mm/yyyy"/>
      <alignment horizontal="center" vertical="center" textRotation="0" wrapText="0" indent="0" justifyLastLine="0" shrinkToFit="0" readingOrder="0"/>
    </dxf>
    <dxf>
      <alignment horizontal="center" vertical="bottom"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colors>
    <mruColors>
      <color rgb="FFFFC719"/>
      <color rgb="FFFFD057"/>
      <color rgb="FFFFD019"/>
      <color rgb="FFFFD7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DISPONIBILIDAD POR EQUIPO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VE"/>
        </a:p>
      </c:txPr>
    </c:title>
    <c:autoTitleDeleted val="0"/>
    <c:plotArea>
      <c:layout/>
      <c:barChart>
        <c:barDir val="col"/>
        <c:grouping val="clustered"/>
        <c:varyColors val="0"/>
        <c:ser>
          <c:idx val="0"/>
          <c:order val="0"/>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sysDot"/>
              </a:ln>
              <a:effectLst/>
            </c:spPr>
            <c:trendlineType val="linear"/>
            <c:dispRSqr val="0"/>
            <c:dispEq val="0"/>
          </c:trendline>
          <c:cat>
            <c:strRef>
              <c:f>RESULTADOS!$C$12:$K$12</c:f>
              <c:strCache>
                <c:ptCount val="9"/>
                <c:pt idx="0">
                  <c:v>CATERPILLAR 1</c:v>
                </c:pt>
                <c:pt idx="1">
                  <c:v>TOYOTA 5</c:v>
                </c:pt>
                <c:pt idx="2">
                  <c:v>NISSAN 7</c:v>
                </c:pt>
                <c:pt idx="3">
                  <c:v>TOYOTA 8</c:v>
                </c:pt>
                <c:pt idx="4">
                  <c:v>TOYOTA 9</c:v>
                </c:pt>
                <c:pt idx="5">
                  <c:v>TOYOTA 10</c:v>
                </c:pt>
                <c:pt idx="6">
                  <c:v>TOYOTA 11</c:v>
                </c:pt>
                <c:pt idx="7">
                  <c:v>TOYOTA 12</c:v>
                </c:pt>
                <c:pt idx="8">
                  <c:v>TOYOTA 13</c:v>
                </c:pt>
              </c:strCache>
            </c:strRef>
          </c:cat>
          <c:val>
            <c:numRef>
              <c:f>RESULTADOS!$C$19:$K$19</c:f>
              <c:numCache>
                <c:formatCode>0%</c:formatCode>
                <c:ptCount val="9"/>
                <c:pt idx="0">
                  <c:v>0.9770833333333333</c:v>
                </c:pt>
                <c:pt idx="1">
                  <c:v>0.99791666666666667</c:v>
                </c:pt>
                <c:pt idx="2">
                  <c:v>1</c:v>
                </c:pt>
                <c:pt idx="3">
                  <c:v>0.90208333333333335</c:v>
                </c:pt>
                <c:pt idx="4">
                  <c:v>0.99722222222222223</c:v>
                </c:pt>
                <c:pt idx="5">
                  <c:v>1</c:v>
                </c:pt>
                <c:pt idx="6">
                  <c:v>0.73958333333333337</c:v>
                </c:pt>
                <c:pt idx="7">
                  <c:v>0.98333333333333328</c:v>
                </c:pt>
                <c:pt idx="8">
                  <c:v>1</c:v>
                </c:pt>
              </c:numCache>
            </c:numRef>
          </c:val>
          <c:extLst>
            <c:ext xmlns:c16="http://schemas.microsoft.com/office/drawing/2014/chart" uri="{C3380CC4-5D6E-409C-BE32-E72D297353CC}">
              <c16:uniqueId val="{00000000-7525-4EC6-83D4-691BE6EA067F}"/>
            </c:ext>
          </c:extLst>
        </c:ser>
        <c:dLbls>
          <c:showLegendKey val="0"/>
          <c:showVal val="0"/>
          <c:showCatName val="0"/>
          <c:showSerName val="0"/>
          <c:showPercent val="0"/>
          <c:showBubbleSize val="0"/>
        </c:dLbls>
        <c:gapWidth val="219"/>
        <c:overlap val="-27"/>
        <c:axId val="308350863"/>
        <c:axId val="540813631"/>
      </c:barChart>
      <c:catAx>
        <c:axId val="30835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540813631"/>
        <c:crosses val="autoZero"/>
        <c:auto val="1"/>
        <c:lblAlgn val="ctr"/>
        <c:lblOffset val="100"/>
        <c:noMultiLvlLbl val="0"/>
      </c:catAx>
      <c:valAx>
        <c:axId val="540813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30835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V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DISPONIBILIDAD</a:t>
            </a:r>
            <a:r>
              <a:rPr lang="es-CO" baseline="0"/>
              <a:t> TOTAL 2025</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RESULTADOS!$C$35</c:f>
              <c:strCache>
                <c:ptCount val="1"/>
                <c:pt idx="0">
                  <c:v>DISPONIBILIDAD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RESULTADOS!$B$36:$B$47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RESULTADOS!$C$36:$C$47</c:f>
              <c:numCache>
                <c:formatCode>General</c:formatCode>
                <c:ptCount val="12"/>
                <c:pt idx="3" formatCode="0%">
                  <c:v>0.95</c:v>
                </c:pt>
                <c:pt idx="4" formatCode="0%">
                  <c:v>0.89</c:v>
                </c:pt>
                <c:pt idx="5" formatCode="0%">
                  <c:v>0.95</c:v>
                </c:pt>
                <c:pt idx="6" formatCode="0%">
                  <c:v>0.95</c:v>
                </c:pt>
                <c:pt idx="7" formatCode="0%">
                  <c:v>0.97</c:v>
                </c:pt>
                <c:pt idx="8" formatCode="0%">
                  <c:v>0.99</c:v>
                </c:pt>
                <c:pt idx="9" formatCode="0%">
                  <c:v>0.99</c:v>
                </c:pt>
                <c:pt idx="10" formatCode="0%">
                  <c:v>0.99</c:v>
                </c:pt>
                <c:pt idx="11" formatCode="0%">
                  <c:v>0.96</c:v>
                </c:pt>
              </c:numCache>
            </c:numRef>
          </c:val>
          <c:extLst>
            <c:ext xmlns:c16="http://schemas.microsoft.com/office/drawing/2014/chart" uri="{C3380CC4-5D6E-409C-BE32-E72D297353CC}">
              <c16:uniqueId val="{00000000-8A32-424E-A707-56964021E5B9}"/>
            </c:ext>
          </c:extLst>
        </c:ser>
        <c:dLbls>
          <c:showLegendKey val="0"/>
          <c:showVal val="0"/>
          <c:showCatName val="0"/>
          <c:showSerName val="0"/>
          <c:showPercent val="0"/>
          <c:showBubbleSize val="0"/>
        </c:dLbls>
        <c:gapWidth val="219"/>
        <c:overlap val="-27"/>
        <c:axId val="1318541391"/>
        <c:axId val="1315488399"/>
      </c:barChart>
      <c:lineChart>
        <c:grouping val="stacked"/>
        <c:varyColors val="0"/>
        <c:ser>
          <c:idx val="1"/>
          <c:order val="1"/>
          <c:tx>
            <c:strRef>
              <c:f>RESULTADOS!$D$35</c:f>
              <c:strCache>
                <c:ptCount val="1"/>
                <c:pt idx="0">
                  <c:v>MTTR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RESULTADOS!$B$36:$B$47</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RESULTADOS!$D$36:$D$47</c:f>
              <c:numCache>
                <c:formatCode>General</c:formatCode>
                <c:ptCount val="12"/>
                <c:pt idx="3">
                  <c:v>13.2</c:v>
                </c:pt>
                <c:pt idx="4">
                  <c:v>33.799999999999997</c:v>
                </c:pt>
                <c:pt idx="5">
                  <c:v>25.3</c:v>
                </c:pt>
                <c:pt idx="6">
                  <c:v>14.18</c:v>
                </c:pt>
                <c:pt idx="7">
                  <c:v>29.33</c:v>
                </c:pt>
                <c:pt idx="8">
                  <c:v>5.21</c:v>
                </c:pt>
                <c:pt idx="9">
                  <c:v>3.08</c:v>
                </c:pt>
                <c:pt idx="10">
                  <c:v>5.18</c:v>
                </c:pt>
                <c:pt idx="11">
                  <c:v>13.2</c:v>
                </c:pt>
              </c:numCache>
            </c:numRef>
          </c:val>
          <c:smooth val="0"/>
          <c:extLst>
            <c:ext xmlns:c16="http://schemas.microsoft.com/office/drawing/2014/chart" uri="{C3380CC4-5D6E-409C-BE32-E72D297353CC}">
              <c16:uniqueId val="{00000001-8A32-424E-A707-56964021E5B9}"/>
            </c:ext>
          </c:extLst>
        </c:ser>
        <c:dLbls>
          <c:showLegendKey val="0"/>
          <c:showVal val="0"/>
          <c:showCatName val="0"/>
          <c:showSerName val="0"/>
          <c:showPercent val="0"/>
          <c:showBubbleSize val="0"/>
        </c:dLbls>
        <c:marker val="1"/>
        <c:smooth val="0"/>
        <c:axId val="1310863871"/>
        <c:axId val="1315500879"/>
      </c:lineChart>
      <c:catAx>
        <c:axId val="131854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1315488399"/>
        <c:crosses val="autoZero"/>
        <c:auto val="1"/>
        <c:lblAlgn val="ctr"/>
        <c:lblOffset val="100"/>
        <c:noMultiLvlLbl val="0"/>
      </c:catAx>
      <c:valAx>
        <c:axId val="131548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1318541391"/>
        <c:crosses val="autoZero"/>
        <c:crossBetween val="between"/>
      </c:valAx>
      <c:valAx>
        <c:axId val="13155008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1310863871"/>
        <c:crosses val="max"/>
        <c:crossBetween val="between"/>
      </c:valAx>
      <c:catAx>
        <c:axId val="1310863871"/>
        <c:scaling>
          <c:orientation val="minMax"/>
        </c:scaling>
        <c:delete val="1"/>
        <c:axPos val="b"/>
        <c:numFmt formatCode="General" sourceLinked="1"/>
        <c:majorTickMark val="out"/>
        <c:minorTickMark val="none"/>
        <c:tickLblPos val="nextTo"/>
        <c:crossAx val="13155008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V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VE"/>
        </a:p>
      </c:txPr>
    </c:title>
    <c:autoTitleDeleted val="0"/>
    <c:plotArea>
      <c:layout/>
      <c:pieChart>
        <c:varyColors val="1"/>
        <c:ser>
          <c:idx val="0"/>
          <c:order val="0"/>
          <c:tx>
            <c:strRef>
              <c:f>RESULTADOS!$G$38</c:f>
              <c:strCache>
                <c:ptCount val="1"/>
                <c:pt idx="0">
                  <c:v>ACUMULADO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58-4EE0-BE33-33F3074ECE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58-4EE0-BE33-33F3074ECE7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758-4EE0-BE33-33F3074ECE7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758-4EE0-BE33-33F3074ECE7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758-4EE0-BE33-33F3074ECE7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758-4EE0-BE33-33F3074ECE7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758-4EE0-BE33-33F3074ECE79}"/>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A43-49E7-9BD8-DBF9BFEE48AC}"/>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A43-49E7-9BD8-DBF9BFEE48AC}"/>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58F-4FDD-AE18-82B452F8C4F1}"/>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9B51-419B-8A02-CB8E83F8533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VE"/>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RESULTADOS!$F$39:$F$49</c:f>
              <c:strCache>
                <c:ptCount val="11"/>
                <c:pt idx="0">
                  <c:v>POTENCIA</c:v>
                </c:pt>
                <c:pt idx="1">
                  <c:v>TRACCION</c:v>
                </c:pt>
                <c:pt idx="2">
                  <c:v>FRENOS</c:v>
                </c:pt>
                <c:pt idx="3">
                  <c:v>MASTIL</c:v>
                </c:pt>
                <c:pt idx="4">
                  <c:v>ENCENDIDO</c:v>
                </c:pt>
                <c:pt idx="5">
                  <c:v>DIRECCION</c:v>
                </c:pt>
                <c:pt idx="6">
                  <c:v>SEGURIDAD</c:v>
                </c:pt>
                <c:pt idx="7">
                  <c:v>COMBUSTIBLE</c:v>
                </c:pt>
                <c:pt idx="8">
                  <c:v>REFRIGERACION</c:v>
                </c:pt>
                <c:pt idx="9">
                  <c:v>SIST. HIDRAULICO</c:v>
                </c:pt>
                <c:pt idx="10">
                  <c:v>ELECTRONICO</c:v>
                </c:pt>
              </c:strCache>
            </c:strRef>
          </c:cat>
          <c:val>
            <c:numRef>
              <c:f>RESULTADOS!$G$39:$G$49</c:f>
              <c:numCache>
                <c:formatCode>General</c:formatCode>
                <c:ptCount val="11"/>
                <c:pt idx="0">
                  <c:v>0</c:v>
                </c:pt>
                <c:pt idx="1">
                  <c:v>0</c:v>
                </c:pt>
                <c:pt idx="2">
                  <c:v>0</c:v>
                </c:pt>
                <c:pt idx="3">
                  <c:v>0</c:v>
                </c:pt>
                <c:pt idx="4">
                  <c:v>1</c:v>
                </c:pt>
                <c:pt idx="5">
                  <c:v>0</c:v>
                </c:pt>
                <c:pt idx="6">
                  <c:v>0</c:v>
                </c:pt>
                <c:pt idx="7">
                  <c:v>0</c:v>
                </c:pt>
                <c:pt idx="8">
                  <c:v>0</c:v>
                </c:pt>
                <c:pt idx="9">
                  <c:v>0</c:v>
                </c:pt>
                <c:pt idx="10">
                  <c:v>0</c:v>
                </c:pt>
              </c:numCache>
            </c:numRef>
          </c:val>
          <c:extLst>
            <c:ext xmlns:c16="http://schemas.microsoft.com/office/drawing/2014/chart" uri="{C3380CC4-5D6E-409C-BE32-E72D297353CC}">
              <c16:uniqueId val="{00000000-4D63-4E88-A857-F25B8F55ABA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964178328837306"/>
          <c:y val="0.14938617672790902"/>
          <c:w val="0.28269633368654695"/>
          <c:h val="0.7944496937882764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V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V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'ACUMULADO EQUIPOS APC'!$C$2:$C$4</c:f>
              <c:strCache>
                <c:ptCount val="3"/>
                <c:pt idx="0">
                  <c:v>CATERPILLAR 1</c:v>
                </c:pt>
                <c:pt idx="2">
                  <c:v>ACUMULADO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'ACUMULADO EQUIPOS APC'!$B$5:$B$14</c:f>
              <c:strCache>
                <c:ptCount val="10"/>
                <c:pt idx="0">
                  <c:v>POTENCIA</c:v>
                </c:pt>
                <c:pt idx="1">
                  <c:v>TRACCION</c:v>
                </c:pt>
                <c:pt idx="2">
                  <c:v>FRENOS</c:v>
                </c:pt>
                <c:pt idx="3">
                  <c:v>MASTIL</c:v>
                </c:pt>
                <c:pt idx="4">
                  <c:v>ENCENDIDO</c:v>
                </c:pt>
                <c:pt idx="5">
                  <c:v>DIRECCION</c:v>
                </c:pt>
                <c:pt idx="6">
                  <c:v>SEGURIDAD</c:v>
                </c:pt>
                <c:pt idx="7">
                  <c:v>COMBUSTIBLE</c:v>
                </c:pt>
                <c:pt idx="8">
                  <c:v>REFRIGERACION</c:v>
                </c:pt>
                <c:pt idx="9">
                  <c:v>SIST. HIDRAULICO</c:v>
                </c:pt>
              </c:strCache>
            </c:strRef>
          </c:cat>
          <c:val>
            <c:numRef>
              <c:f>'ACUMULADO EQUIPOS APC'!$C$5:$C$14</c:f>
              <c:numCache>
                <c:formatCode>General</c:formatCode>
                <c:ptCount val="10"/>
                <c:pt idx="0">
                  <c:v>0</c:v>
                </c:pt>
                <c:pt idx="1">
                  <c:v>0</c:v>
                </c:pt>
                <c:pt idx="2">
                  <c:v>0</c:v>
                </c:pt>
                <c:pt idx="3">
                  <c:v>0</c:v>
                </c:pt>
                <c:pt idx="4">
                  <c:v>0</c:v>
                </c:pt>
                <c:pt idx="5">
                  <c:v>2</c:v>
                </c:pt>
                <c:pt idx="6">
                  <c:v>0</c:v>
                </c:pt>
                <c:pt idx="7">
                  <c:v>0</c:v>
                </c:pt>
                <c:pt idx="8">
                  <c:v>0</c:v>
                </c:pt>
                <c:pt idx="9">
                  <c:v>0</c:v>
                </c:pt>
              </c:numCache>
            </c:numRef>
          </c:val>
          <c:extLst>
            <c:ext xmlns:c16="http://schemas.microsoft.com/office/drawing/2014/chart" uri="{C3380CC4-5D6E-409C-BE32-E72D297353CC}">
              <c16:uniqueId val="{00000000-EBB0-4938-A930-D1C98D74E8C3}"/>
            </c:ext>
          </c:extLst>
        </c:ser>
        <c:dLbls>
          <c:dLblPos val="outEnd"/>
          <c:showLegendKey val="0"/>
          <c:showVal val="1"/>
          <c:showCatName val="0"/>
          <c:showSerName val="0"/>
          <c:showPercent val="0"/>
          <c:showBubbleSize val="0"/>
        </c:dLbls>
        <c:gapWidth val="182"/>
        <c:axId val="1160085951"/>
        <c:axId val="1160096511"/>
      </c:barChart>
      <c:catAx>
        <c:axId val="116008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60096511"/>
        <c:crosses val="autoZero"/>
        <c:auto val="1"/>
        <c:lblAlgn val="ctr"/>
        <c:lblOffset val="100"/>
        <c:noMultiLvlLbl val="0"/>
      </c:catAx>
      <c:valAx>
        <c:axId val="116009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600859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'ACUMULADO EQUIPOS APC'!$F$2:$F$4</c:f>
              <c:strCache>
                <c:ptCount val="3"/>
                <c:pt idx="0">
                  <c:v>TOYOTA 5</c:v>
                </c:pt>
                <c:pt idx="2">
                  <c:v>ACUMULADO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'ACUMULADO EQUIPOS APC'!$E$5:$E$14</c:f>
              <c:strCache>
                <c:ptCount val="10"/>
                <c:pt idx="0">
                  <c:v>POTENCIA</c:v>
                </c:pt>
                <c:pt idx="1">
                  <c:v>TRACCION</c:v>
                </c:pt>
                <c:pt idx="2">
                  <c:v>FRENOS</c:v>
                </c:pt>
                <c:pt idx="3">
                  <c:v>MASTIL</c:v>
                </c:pt>
                <c:pt idx="4">
                  <c:v>ENCENDIDO</c:v>
                </c:pt>
                <c:pt idx="5">
                  <c:v>DIRECCION</c:v>
                </c:pt>
                <c:pt idx="6">
                  <c:v>SEGURIDAD</c:v>
                </c:pt>
                <c:pt idx="7">
                  <c:v>COMBUSTIBLE</c:v>
                </c:pt>
                <c:pt idx="8">
                  <c:v>REFRIGERACION</c:v>
                </c:pt>
                <c:pt idx="9">
                  <c:v>SIST. HIDRAULICO</c:v>
                </c:pt>
              </c:strCache>
            </c:strRef>
          </c:cat>
          <c:val>
            <c:numRef>
              <c:f>'ACUMULADO EQUIPOS APC'!$F$5:$F$14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8B01-468D-891A-DF3C31558041}"/>
            </c:ext>
          </c:extLst>
        </c:ser>
        <c:dLbls>
          <c:dLblPos val="outEnd"/>
          <c:showLegendKey val="0"/>
          <c:showVal val="1"/>
          <c:showCatName val="0"/>
          <c:showSerName val="0"/>
          <c:showPercent val="0"/>
          <c:showBubbleSize val="0"/>
        </c:dLbls>
        <c:gapWidth val="182"/>
        <c:axId val="646361999"/>
        <c:axId val="646362959"/>
      </c:barChart>
      <c:catAx>
        <c:axId val="64636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46362959"/>
        <c:crosses val="autoZero"/>
        <c:auto val="1"/>
        <c:lblAlgn val="ctr"/>
        <c:lblOffset val="100"/>
        <c:noMultiLvlLbl val="0"/>
      </c:catAx>
      <c:valAx>
        <c:axId val="64636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463619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'ACUMULADO EQUIPOS APC'!$I$2:$I$4</c:f>
              <c:strCache>
                <c:ptCount val="3"/>
                <c:pt idx="0">
                  <c:v>NISSAN 7</c:v>
                </c:pt>
                <c:pt idx="2">
                  <c:v>ACUMULADO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'ACUMULADO EQUIPOS APC'!$H$5:$H$14</c:f>
              <c:strCache>
                <c:ptCount val="10"/>
                <c:pt idx="0">
                  <c:v>POTENCIA</c:v>
                </c:pt>
                <c:pt idx="1">
                  <c:v>TRACCION</c:v>
                </c:pt>
                <c:pt idx="2">
                  <c:v>FRENOS</c:v>
                </c:pt>
                <c:pt idx="3">
                  <c:v>MASTIL</c:v>
                </c:pt>
                <c:pt idx="4">
                  <c:v>ENCENDIDO</c:v>
                </c:pt>
                <c:pt idx="5">
                  <c:v>DIRECCION</c:v>
                </c:pt>
                <c:pt idx="6">
                  <c:v>SEGURIDAD</c:v>
                </c:pt>
                <c:pt idx="7">
                  <c:v>COMBUSTIBLE</c:v>
                </c:pt>
                <c:pt idx="8">
                  <c:v>REFRIGERACION</c:v>
                </c:pt>
                <c:pt idx="9">
                  <c:v>SIST. HIDRAULICO</c:v>
                </c:pt>
              </c:strCache>
            </c:strRef>
          </c:cat>
          <c:val>
            <c:numRef>
              <c:f>'ACUMULADO EQUIPOS APC'!$I$5:$I$14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1647-4440-9B85-DF78D0632875}"/>
            </c:ext>
          </c:extLst>
        </c:ser>
        <c:dLbls>
          <c:dLblPos val="outEnd"/>
          <c:showLegendKey val="0"/>
          <c:showVal val="1"/>
          <c:showCatName val="0"/>
          <c:showSerName val="0"/>
          <c:showPercent val="0"/>
          <c:showBubbleSize val="0"/>
        </c:dLbls>
        <c:gapWidth val="219"/>
        <c:overlap val="-27"/>
        <c:axId val="1004641663"/>
        <c:axId val="1004642623"/>
      </c:barChart>
      <c:catAx>
        <c:axId val="100464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04642623"/>
        <c:crosses val="autoZero"/>
        <c:auto val="1"/>
        <c:lblAlgn val="ctr"/>
        <c:lblOffset val="100"/>
        <c:noMultiLvlLbl val="0"/>
      </c:catAx>
      <c:valAx>
        <c:axId val="100464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0464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'ACUMULADO EQUIPOS APC'!$L$2:$L$4</c:f>
              <c:strCache>
                <c:ptCount val="3"/>
                <c:pt idx="0">
                  <c:v>TOYOTA 8</c:v>
                </c:pt>
                <c:pt idx="2">
                  <c:v>ACUMULADO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'ACUMULADO EQUIPOS APC'!$K$5:$K$14</c:f>
              <c:strCache>
                <c:ptCount val="10"/>
                <c:pt idx="0">
                  <c:v>POTENCIA</c:v>
                </c:pt>
                <c:pt idx="1">
                  <c:v>TRACCION</c:v>
                </c:pt>
                <c:pt idx="2">
                  <c:v>FRENOS</c:v>
                </c:pt>
                <c:pt idx="3">
                  <c:v>MASTIL</c:v>
                </c:pt>
                <c:pt idx="4">
                  <c:v>ENCENDIDO</c:v>
                </c:pt>
                <c:pt idx="5">
                  <c:v>DIRECCION</c:v>
                </c:pt>
                <c:pt idx="6">
                  <c:v>SEGURIDAD</c:v>
                </c:pt>
                <c:pt idx="7">
                  <c:v>COMBUSTIBLE</c:v>
                </c:pt>
                <c:pt idx="8">
                  <c:v>REFRIGERACION</c:v>
                </c:pt>
                <c:pt idx="9">
                  <c:v>SIST. HIDRAULICO</c:v>
                </c:pt>
              </c:strCache>
            </c:strRef>
          </c:cat>
          <c:val>
            <c:numRef>
              <c:f>'ACUMULADO EQUIPOS APC'!$L$5:$L$14</c:f>
              <c:numCache>
                <c:formatCode>General</c:formatCode>
                <c:ptCount val="10"/>
                <c:pt idx="0">
                  <c:v>0</c:v>
                </c:pt>
                <c:pt idx="1">
                  <c:v>143</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785B-44D5-8E44-D030AC32AF0C}"/>
            </c:ext>
          </c:extLst>
        </c:ser>
        <c:dLbls>
          <c:dLblPos val="outEnd"/>
          <c:showLegendKey val="0"/>
          <c:showVal val="1"/>
          <c:showCatName val="0"/>
          <c:showSerName val="0"/>
          <c:showPercent val="0"/>
          <c:showBubbleSize val="0"/>
        </c:dLbls>
        <c:gapWidth val="219"/>
        <c:overlap val="-27"/>
        <c:axId val="1004635903"/>
        <c:axId val="1004637823"/>
      </c:barChart>
      <c:catAx>
        <c:axId val="100463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04637823"/>
        <c:crosses val="autoZero"/>
        <c:auto val="1"/>
        <c:lblAlgn val="ctr"/>
        <c:lblOffset val="100"/>
        <c:noMultiLvlLbl val="0"/>
      </c:catAx>
      <c:valAx>
        <c:axId val="100463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04635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'ACUMULADO EQUIPOS APC'!$O$2:$O$4</c:f>
              <c:strCache>
                <c:ptCount val="3"/>
                <c:pt idx="0">
                  <c:v>TOYOTA 9</c:v>
                </c:pt>
                <c:pt idx="2">
                  <c:v>ACUMULADO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'ACUMULADO EQUIPOS APC'!$N$5:$N$14</c:f>
              <c:strCache>
                <c:ptCount val="10"/>
                <c:pt idx="0">
                  <c:v>POTENCIA</c:v>
                </c:pt>
                <c:pt idx="1">
                  <c:v>TRACCION</c:v>
                </c:pt>
                <c:pt idx="2">
                  <c:v>FRENOS</c:v>
                </c:pt>
                <c:pt idx="3">
                  <c:v>MASTIL</c:v>
                </c:pt>
                <c:pt idx="4">
                  <c:v>ENCENDIDO</c:v>
                </c:pt>
                <c:pt idx="5">
                  <c:v>DIRECCION</c:v>
                </c:pt>
                <c:pt idx="6">
                  <c:v>SEGURIDAD</c:v>
                </c:pt>
                <c:pt idx="7">
                  <c:v>COMBUSTIBLE</c:v>
                </c:pt>
                <c:pt idx="8">
                  <c:v>REFRIGERACION</c:v>
                </c:pt>
                <c:pt idx="9">
                  <c:v>SIST. HIDRAULICO</c:v>
                </c:pt>
              </c:strCache>
            </c:strRef>
          </c:cat>
          <c:val>
            <c:numRef>
              <c:f>'ACUMULADO EQUIPOS APC'!$O$5:$O$14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40F1-4AA0-8020-30420C2F6431}"/>
            </c:ext>
          </c:extLst>
        </c:ser>
        <c:dLbls>
          <c:dLblPos val="outEnd"/>
          <c:showLegendKey val="0"/>
          <c:showVal val="1"/>
          <c:showCatName val="0"/>
          <c:showSerName val="0"/>
          <c:showPercent val="0"/>
          <c:showBubbleSize val="0"/>
        </c:dLbls>
        <c:gapWidth val="219"/>
        <c:overlap val="-27"/>
        <c:axId val="1144633711"/>
        <c:axId val="1144634191"/>
      </c:barChart>
      <c:catAx>
        <c:axId val="114463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44634191"/>
        <c:crosses val="autoZero"/>
        <c:auto val="1"/>
        <c:lblAlgn val="ctr"/>
        <c:lblOffset val="100"/>
        <c:noMultiLvlLbl val="0"/>
      </c:catAx>
      <c:valAx>
        <c:axId val="114463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4463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'ACUMULADO EQUIPOS APC'!$R$2:$R$4</c:f>
              <c:strCache>
                <c:ptCount val="3"/>
                <c:pt idx="0">
                  <c:v>TOYOTA 10</c:v>
                </c:pt>
                <c:pt idx="2">
                  <c:v>ACUMULADO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'ACUMULADO EQUIPOS APC'!$Q$5:$Q$14</c:f>
              <c:strCache>
                <c:ptCount val="10"/>
                <c:pt idx="0">
                  <c:v>POTENCIA</c:v>
                </c:pt>
                <c:pt idx="1">
                  <c:v>TRACCION</c:v>
                </c:pt>
                <c:pt idx="2">
                  <c:v>FRENOS</c:v>
                </c:pt>
                <c:pt idx="3">
                  <c:v>MASTIL</c:v>
                </c:pt>
                <c:pt idx="4">
                  <c:v>ENCENDIDO</c:v>
                </c:pt>
                <c:pt idx="5">
                  <c:v>DIRECCION</c:v>
                </c:pt>
                <c:pt idx="6">
                  <c:v>SEGURIDAD</c:v>
                </c:pt>
                <c:pt idx="7">
                  <c:v>COMBUSTIBLE</c:v>
                </c:pt>
                <c:pt idx="8">
                  <c:v>REFRIGERACION</c:v>
                </c:pt>
                <c:pt idx="9">
                  <c:v>SIST. HIDRAULICO</c:v>
                </c:pt>
              </c:strCache>
            </c:strRef>
          </c:cat>
          <c:val>
            <c:numRef>
              <c:f>'ACUMULADO EQUIPOS APC'!$R$5:$R$14</c:f>
              <c:numCache>
                <c:formatCode>General</c:formatCode>
                <c:ptCount val="10"/>
                <c:pt idx="0">
                  <c:v>0</c:v>
                </c:pt>
                <c:pt idx="1">
                  <c:v>24</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17F-46DD-8D61-6976B7FAC2BB}"/>
            </c:ext>
          </c:extLst>
        </c:ser>
        <c:dLbls>
          <c:dLblPos val="outEnd"/>
          <c:showLegendKey val="0"/>
          <c:showVal val="1"/>
          <c:showCatName val="0"/>
          <c:showSerName val="0"/>
          <c:showPercent val="0"/>
          <c:showBubbleSize val="0"/>
        </c:dLbls>
        <c:gapWidth val="219"/>
        <c:overlap val="-27"/>
        <c:axId val="1185400351"/>
        <c:axId val="1185398911"/>
      </c:barChart>
      <c:catAx>
        <c:axId val="118540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85398911"/>
        <c:crosses val="autoZero"/>
        <c:auto val="1"/>
        <c:lblAlgn val="ctr"/>
        <c:lblOffset val="100"/>
        <c:noMultiLvlLbl val="0"/>
      </c:catAx>
      <c:valAx>
        <c:axId val="118539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8540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'ACUMULADO EQUIPOS APC'!$U$2:$U$4</c:f>
              <c:strCache>
                <c:ptCount val="3"/>
                <c:pt idx="0">
                  <c:v>TOYOTA 11</c:v>
                </c:pt>
                <c:pt idx="2">
                  <c:v>ACUMULADO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'ACUMULADO EQUIPOS APC'!$T$5:$T$14</c:f>
              <c:strCache>
                <c:ptCount val="10"/>
                <c:pt idx="0">
                  <c:v>POTENCIA</c:v>
                </c:pt>
                <c:pt idx="1">
                  <c:v>TRACCION</c:v>
                </c:pt>
                <c:pt idx="2">
                  <c:v>FRENOS</c:v>
                </c:pt>
                <c:pt idx="3">
                  <c:v>MASTIL</c:v>
                </c:pt>
                <c:pt idx="4">
                  <c:v>ENCENDIDO</c:v>
                </c:pt>
                <c:pt idx="5">
                  <c:v>DIRECCION</c:v>
                </c:pt>
                <c:pt idx="6">
                  <c:v>SEGURIDAD</c:v>
                </c:pt>
                <c:pt idx="7">
                  <c:v>COMBUSTIBLE</c:v>
                </c:pt>
                <c:pt idx="8">
                  <c:v>REFRIGERACION</c:v>
                </c:pt>
                <c:pt idx="9">
                  <c:v>SIST. HIDRAULICO</c:v>
                </c:pt>
              </c:strCache>
            </c:strRef>
          </c:cat>
          <c:val>
            <c:numRef>
              <c:f>'ACUMULADO EQUIPOS APC'!$U$5:$U$14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F336-4DBB-BB38-2DD5636C77A3}"/>
            </c:ext>
          </c:extLst>
        </c:ser>
        <c:dLbls>
          <c:dLblPos val="outEnd"/>
          <c:showLegendKey val="0"/>
          <c:showVal val="1"/>
          <c:showCatName val="0"/>
          <c:showSerName val="0"/>
          <c:showPercent val="0"/>
          <c:showBubbleSize val="0"/>
        </c:dLbls>
        <c:gapWidth val="219"/>
        <c:overlap val="-27"/>
        <c:axId val="1233562975"/>
        <c:axId val="1233556255"/>
      </c:barChart>
      <c:catAx>
        <c:axId val="123356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33556255"/>
        <c:crosses val="autoZero"/>
        <c:auto val="1"/>
        <c:lblAlgn val="ctr"/>
        <c:lblOffset val="100"/>
        <c:noMultiLvlLbl val="0"/>
      </c:catAx>
      <c:valAx>
        <c:axId val="123355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335629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'ACUMULADO EQUIPOS APC'!$X$4</c:f>
              <c:strCache>
                <c:ptCount val="1"/>
                <c:pt idx="0">
                  <c:v>ACUMULADO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'ACUMULADO EQUIPOS APC'!$W$5:$W$14</c:f>
              <c:strCache>
                <c:ptCount val="10"/>
                <c:pt idx="0">
                  <c:v>POTENCIA</c:v>
                </c:pt>
                <c:pt idx="1">
                  <c:v>TRACCION</c:v>
                </c:pt>
                <c:pt idx="2">
                  <c:v>FRENOS</c:v>
                </c:pt>
                <c:pt idx="3">
                  <c:v>MASTIL</c:v>
                </c:pt>
                <c:pt idx="4">
                  <c:v>ENCENDIDO</c:v>
                </c:pt>
                <c:pt idx="5">
                  <c:v>DIRECCION</c:v>
                </c:pt>
                <c:pt idx="6">
                  <c:v>SEGURIDAD</c:v>
                </c:pt>
                <c:pt idx="7">
                  <c:v>COMBUSTIBLE</c:v>
                </c:pt>
                <c:pt idx="8">
                  <c:v>REFRIGERACION</c:v>
                </c:pt>
                <c:pt idx="9">
                  <c:v>SIST. HIDRAULICO</c:v>
                </c:pt>
              </c:strCache>
            </c:strRef>
          </c:cat>
          <c:val>
            <c:numRef>
              <c:f>'ACUMULADO EQUIPOS APC'!$X$5:$X$14</c:f>
              <c:numCache>
                <c:formatCode>General</c:formatCode>
                <c:ptCount val="10"/>
                <c:pt idx="0">
                  <c:v>0</c:v>
                </c:pt>
                <c:pt idx="1">
                  <c:v>0</c:v>
                </c:pt>
                <c:pt idx="2">
                  <c:v>0</c:v>
                </c:pt>
                <c:pt idx="3">
                  <c:v>0</c:v>
                </c:pt>
                <c:pt idx="4">
                  <c:v>0</c:v>
                </c:pt>
                <c:pt idx="5">
                  <c:v>2</c:v>
                </c:pt>
                <c:pt idx="6">
                  <c:v>0</c:v>
                </c:pt>
                <c:pt idx="7">
                  <c:v>0</c:v>
                </c:pt>
                <c:pt idx="8">
                  <c:v>0</c:v>
                </c:pt>
                <c:pt idx="9">
                  <c:v>0</c:v>
                </c:pt>
              </c:numCache>
            </c:numRef>
          </c:val>
          <c:extLst>
            <c:ext xmlns:c16="http://schemas.microsoft.com/office/drawing/2014/chart" uri="{C3380CC4-5D6E-409C-BE32-E72D297353CC}">
              <c16:uniqueId val="{00000000-F872-49B0-8481-502515E19BB2}"/>
            </c:ext>
          </c:extLst>
        </c:ser>
        <c:dLbls>
          <c:dLblPos val="outEnd"/>
          <c:showLegendKey val="0"/>
          <c:showVal val="1"/>
          <c:showCatName val="0"/>
          <c:showSerName val="0"/>
          <c:showPercent val="0"/>
          <c:showBubbleSize val="0"/>
        </c:dLbls>
        <c:gapWidth val="219"/>
        <c:overlap val="-27"/>
        <c:axId val="1459900255"/>
        <c:axId val="1459902175"/>
      </c:barChart>
      <c:catAx>
        <c:axId val="145990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59902175"/>
        <c:crosses val="autoZero"/>
        <c:auto val="1"/>
        <c:lblAlgn val="ctr"/>
        <c:lblOffset val="100"/>
        <c:noMultiLvlLbl val="0"/>
      </c:catAx>
      <c:valAx>
        <c:axId val="1459902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59900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'ACUMULADO EQUIPOS APC'!$AA$2:$AA$4</c:f>
              <c:strCache>
                <c:ptCount val="3"/>
                <c:pt idx="0">
                  <c:v>TOYOTA 13</c:v>
                </c:pt>
                <c:pt idx="2">
                  <c:v>ACUMULADO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'ACUMULADO EQUIPOS APC'!$Z$5:$Z$15</c:f>
              <c:strCache>
                <c:ptCount val="11"/>
                <c:pt idx="0">
                  <c:v>POTENCIA</c:v>
                </c:pt>
                <c:pt idx="1">
                  <c:v>TRACCION</c:v>
                </c:pt>
                <c:pt idx="2">
                  <c:v>FRENOS</c:v>
                </c:pt>
                <c:pt idx="3">
                  <c:v>MASTIL</c:v>
                </c:pt>
                <c:pt idx="4">
                  <c:v>ENCENDIDO</c:v>
                </c:pt>
                <c:pt idx="5">
                  <c:v>DIRECCION</c:v>
                </c:pt>
                <c:pt idx="6">
                  <c:v>SEGURIDAD</c:v>
                </c:pt>
                <c:pt idx="7">
                  <c:v>COMBUSTIBLE</c:v>
                </c:pt>
                <c:pt idx="8">
                  <c:v>REFRIGERACION</c:v>
                </c:pt>
                <c:pt idx="9">
                  <c:v>SIST. HIDRAULICO</c:v>
                </c:pt>
                <c:pt idx="10">
                  <c:v>ELECTRONICO</c:v>
                </c:pt>
              </c:strCache>
            </c:strRef>
          </c:cat>
          <c:val>
            <c:numRef>
              <c:f>'ACUMULADO EQUIPOS APC'!$AA$5:$AA$15</c:f>
              <c:numCache>
                <c:formatCode>General</c:formatCode>
                <c:ptCount val="11"/>
                <c:pt idx="0">
                  <c:v>0</c:v>
                </c:pt>
                <c:pt idx="1">
                  <c:v>0</c:v>
                </c:pt>
                <c:pt idx="2">
                  <c:v>0</c:v>
                </c:pt>
                <c:pt idx="3">
                  <c:v>0</c:v>
                </c:pt>
                <c:pt idx="4">
                  <c:v>0</c:v>
                </c:pt>
                <c:pt idx="5">
                  <c:v>0</c:v>
                </c:pt>
                <c:pt idx="6">
                  <c:v>0</c:v>
                </c:pt>
                <c:pt idx="7">
                  <c:v>0</c:v>
                </c:pt>
                <c:pt idx="8">
                  <c:v>0</c:v>
                </c:pt>
                <c:pt idx="9">
                  <c:v>0</c:v>
                </c:pt>
                <c:pt idx="10">
                  <c:v>5</c:v>
                </c:pt>
              </c:numCache>
            </c:numRef>
          </c:val>
          <c:extLst>
            <c:ext xmlns:c16="http://schemas.microsoft.com/office/drawing/2014/chart" uri="{C3380CC4-5D6E-409C-BE32-E72D297353CC}">
              <c16:uniqueId val="{00000000-9E6F-4431-A4FA-A00BE7C8C9F1}"/>
            </c:ext>
          </c:extLst>
        </c:ser>
        <c:dLbls>
          <c:dLblPos val="outEnd"/>
          <c:showLegendKey val="0"/>
          <c:showVal val="1"/>
          <c:showCatName val="0"/>
          <c:showSerName val="0"/>
          <c:showPercent val="0"/>
          <c:showBubbleSize val="0"/>
        </c:dLbls>
        <c:gapWidth val="219"/>
        <c:overlap val="-27"/>
        <c:axId val="1145941919"/>
        <c:axId val="1145945279"/>
      </c:barChart>
      <c:catAx>
        <c:axId val="114594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45945279"/>
        <c:crosses val="autoZero"/>
        <c:auto val="1"/>
        <c:lblAlgn val="ctr"/>
        <c:lblOffset val="100"/>
        <c:noMultiLvlLbl val="0"/>
      </c:catAx>
      <c:valAx>
        <c:axId val="114594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459419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AVERÍAS</a:t>
            </a:r>
          </a:p>
        </c:rich>
      </c:tx>
      <c:layout>
        <c:manualLayout>
          <c:xMode val="edge"/>
          <c:yMode val="edge"/>
          <c:x val="0.45224287783897577"/>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'ACUMULADO EQUIPOS APC'!$AC$5</c:f>
              <c:strCache>
                <c:ptCount val="1"/>
                <c:pt idx="0">
                  <c:v>AVERÍAS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'ACUMULADO EQUIPOS APC'!$AD$4:$AL$4</c:f>
              <c:strCache>
                <c:ptCount val="9"/>
                <c:pt idx="0">
                  <c:v>CATERPILLAR 1</c:v>
                </c:pt>
                <c:pt idx="1">
                  <c:v>TOYOTA 5</c:v>
                </c:pt>
                <c:pt idx="2">
                  <c:v>NISSAN 7</c:v>
                </c:pt>
                <c:pt idx="3">
                  <c:v>TOYOTA 8</c:v>
                </c:pt>
                <c:pt idx="4">
                  <c:v>TOYOTA 9</c:v>
                </c:pt>
                <c:pt idx="5">
                  <c:v>TOYOTA 10</c:v>
                </c:pt>
                <c:pt idx="6">
                  <c:v>TOYOTA 11</c:v>
                </c:pt>
                <c:pt idx="7">
                  <c:v>TOYOTA 12</c:v>
                </c:pt>
                <c:pt idx="8">
                  <c:v>TOYOTA 13</c:v>
                </c:pt>
              </c:strCache>
            </c:strRef>
          </c:cat>
          <c:val>
            <c:numRef>
              <c:f>'ACUMULADO EQUIPOS APC'!$AD$5:$AL$5</c:f>
              <c:numCache>
                <c:formatCode>General</c:formatCode>
                <c:ptCount val="9"/>
                <c:pt idx="0">
                  <c:v>2</c:v>
                </c:pt>
                <c:pt idx="1">
                  <c:v>1</c:v>
                </c:pt>
                <c:pt idx="2">
                  <c:v>0</c:v>
                </c:pt>
                <c:pt idx="3">
                  <c:v>5</c:v>
                </c:pt>
                <c:pt idx="4">
                  <c:v>2</c:v>
                </c:pt>
                <c:pt idx="5">
                  <c:v>0</c:v>
                </c:pt>
                <c:pt idx="6">
                  <c:v>3</c:v>
                </c:pt>
                <c:pt idx="7">
                  <c:v>2</c:v>
                </c:pt>
                <c:pt idx="8">
                  <c:v>0</c:v>
                </c:pt>
              </c:numCache>
            </c:numRef>
          </c:val>
          <c:extLst>
            <c:ext xmlns:c16="http://schemas.microsoft.com/office/drawing/2014/chart" uri="{C3380CC4-5D6E-409C-BE32-E72D297353CC}">
              <c16:uniqueId val="{00000000-0C7D-4186-B161-9C28D98F8976}"/>
            </c:ext>
          </c:extLst>
        </c:ser>
        <c:dLbls>
          <c:showLegendKey val="0"/>
          <c:showVal val="1"/>
          <c:showCatName val="0"/>
          <c:showSerName val="0"/>
          <c:showPercent val="0"/>
          <c:showBubbleSize val="0"/>
        </c:dLbls>
        <c:gapWidth val="219"/>
        <c:overlap val="-27"/>
        <c:axId val="878417823"/>
        <c:axId val="878414943"/>
      </c:barChart>
      <c:lineChart>
        <c:grouping val="standard"/>
        <c:varyColors val="0"/>
        <c:ser>
          <c:idx val="1"/>
          <c:order val="1"/>
          <c:tx>
            <c:strRef>
              <c:f>'ACUMULADO EQUIPOS APC'!$AC$6</c:f>
              <c:strCache>
                <c:ptCount val="1"/>
                <c:pt idx="0">
                  <c:v>TIEMPO MUERTO</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'ACUMULADO EQUIPOS APC'!$AD$4:$AL$4</c:f>
              <c:strCache>
                <c:ptCount val="9"/>
                <c:pt idx="0">
                  <c:v>CATERPILLAR 1</c:v>
                </c:pt>
                <c:pt idx="1">
                  <c:v>TOYOTA 5</c:v>
                </c:pt>
                <c:pt idx="2">
                  <c:v>NISSAN 7</c:v>
                </c:pt>
                <c:pt idx="3">
                  <c:v>TOYOTA 8</c:v>
                </c:pt>
                <c:pt idx="4">
                  <c:v>TOYOTA 9</c:v>
                </c:pt>
                <c:pt idx="5">
                  <c:v>TOYOTA 10</c:v>
                </c:pt>
                <c:pt idx="6">
                  <c:v>TOYOTA 11</c:v>
                </c:pt>
                <c:pt idx="7">
                  <c:v>TOYOTA 12</c:v>
                </c:pt>
                <c:pt idx="8">
                  <c:v>TOYOTA 13</c:v>
                </c:pt>
              </c:strCache>
            </c:strRef>
          </c:cat>
          <c:val>
            <c:numRef>
              <c:f>'ACUMULADO EQUIPOS APC'!$AD$6:$AL$6</c:f>
              <c:numCache>
                <c:formatCode>General</c:formatCode>
                <c:ptCount val="9"/>
                <c:pt idx="0">
                  <c:v>11</c:v>
                </c:pt>
                <c:pt idx="1">
                  <c:v>1</c:v>
                </c:pt>
                <c:pt idx="2">
                  <c:v>0</c:v>
                </c:pt>
                <c:pt idx="3">
                  <c:v>47</c:v>
                </c:pt>
                <c:pt idx="4">
                  <c:v>2</c:v>
                </c:pt>
                <c:pt idx="5">
                  <c:v>0</c:v>
                </c:pt>
                <c:pt idx="6">
                  <c:v>125</c:v>
                </c:pt>
                <c:pt idx="7">
                  <c:v>12</c:v>
                </c:pt>
                <c:pt idx="8">
                  <c:v>0</c:v>
                </c:pt>
              </c:numCache>
            </c:numRef>
          </c:val>
          <c:smooth val="0"/>
          <c:extLst>
            <c:ext xmlns:c16="http://schemas.microsoft.com/office/drawing/2014/chart" uri="{C3380CC4-5D6E-409C-BE32-E72D297353CC}">
              <c16:uniqueId val="{00000001-0C7D-4186-B161-9C28D98F8976}"/>
            </c:ext>
          </c:extLst>
        </c:ser>
        <c:dLbls>
          <c:showLegendKey val="0"/>
          <c:showVal val="1"/>
          <c:showCatName val="0"/>
          <c:showSerName val="0"/>
          <c:showPercent val="0"/>
          <c:showBubbleSize val="0"/>
        </c:dLbls>
        <c:marker val="1"/>
        <c:smooth val="0"/>
        <c:axId val="934762479"/>
        <c:axId val="934765359"/>
      </c:lineChart>
      <c:catAx>
        <c:axId val="87841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78414943"/>
        <c:crosses val="autoZero"/>
        <c:auto val="1"/>
        <c:lblAlgn val="ctr"/>
        <c:lblOffset val="100"/>
        <c:noMultiLvlLbl val="0"/>
      </c:catAx>
      <c:valAx>
        <c:axId val="87841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78417823"/>
        <c:crosses val="autoZero"/>
        <c:crossBetween val="between"/>
      </c:valAx>
      <c:valAx>
        <c:axId val="9347653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34762479"/>
        <c:crosses val="max"/>
        <c:crossBetween val="between"/>
      </c:valAx>
      <c:catAx>
        <c:axId val="934762479"/>
        <c:scaling>
          <c:orientation val="minMax"/>
        </c:scaling>
        <c:delete val="1"/>
        <c:axPos val="b"/>
        <c:numFmt formatCode="General" sourceLinked="1"/>
        <c:majorTickMark val="out"/>
        <c:minorTickMark val="none"/>
        <c:tickLblPos val="nextTo"/>
        <c:crossAx val="9347653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30480</xdr:colOff>
      <xdr:row>2</xdr:row>
      <xdr:rowOff>33618</xdr:rowOff>
    </xdr:from>
    <xdr:to>
      <xdr:col>11</xdr:col>
      <xdr:colOff>960783</xdr:colOff>
      <xdr:row>10</xdr:row>
      <xdr:rowOff>137385</xdr:rowOff>
    </xdr:to>
    <xdr:graphicFrame macro="">
      <xdr:nvGraphicFramePr>
        <xdr:cNvPr id="2" name="Gráfico 1">
          <a:extLst>
            <a:ext uri="{FF2B5EF4-FFF2-40B4-BE49-F238E27FC236}">
              <a16:creationId xmlns:a16="http://schemas.microsoft.com/office/drawing/2014/main" id="{A95F5C91-3440-4A5E-B91D-C3D41AE1C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8282</xdr:colOff>
      <xdr:row>19</xdr:row>
      <xdr:rowOff>140804</xdr:rowOff>
    </xdr:from>
    <xdr:to>
      <xdr:col>12</xdr:col>
      <xdr:colOff>8283</xdr:colOff>
      <xdr:row>32</xdr:row>
      <xdr:rowOff>60960</xdr:rowOff>
    </xdr:to>
    <xdr:graphicFrame macro="">
      <xdr:nvGraphicFramePr>
        <xdr:cNvPr id="3" name="Gráfico 2">
          <a:extLst>
            <a:ext uri="{FF2B5EF4-FFF2-40B4-BE49-F238E27FC236}">
              <a16:creationId xmlns:a16="http://schemas.microsoft.com/office/drawing/2014/main" id="{93AF411C-432B-4897-A084-DE17AAFEF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213360</xdr:colOff>
      <xdr:row>33</xdr:row>
      <xdr:rowOff>57150</xdr:rowOff>
    </xdr:from>
    <xdr:to>
      <xdr:col>11</xdr:col>
      <xdr:colOff>990600</xdr:colOff>
      <xdr:row>48</xdr:row>
      <xdr:rowOff>57150</xdr:rowOff>
    </xdr:to>
    <xdr:graphicFrame macro="">
      <xdr:nvGraphicFramePr>
        <xdr:cNvPr id="5" name="Gráfico 4">
          <a:extLst>
            <a:ext uri="{FF2B5EF4-FFF2-40B4-BE49-F238E27FC236}">
              <a16:creationId xmlns:a16="http://schemas.microsoft.com/office/drawing/2014/main" id="{C28C1791-4ACF-4788-8F79-5DB7E268E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433292</xdr:colOff>
      <xdr:row>52</xdr:row>
      <xdr:rowOff>22412</xdr:rowOff>
    </xdr:from>
    <xdr:to>
      <xdr:col>6</xdr:col>
      <xdr:colOff>623793</xdr:colOff>
      <xdr:row>59</xdr:row>
      <xdr:rowOff>131675</xdr:rowOff>
    </xdr:to>
    <xdr:pic>
      <xdr:nvPicPr>
        <xdr:cNvPr id="6" name="Imagen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893233" y="9756588"/>
          <a:ext cx="1404471" cy="1416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8279</xdr:colOff>
      <xdr:row>2</xdr:row>
      <xdr:rowOff>44825</xdr:rowOff>
    </xdr:from>
    <xdr:to>
      <xdr:col>3</xdr:col>
      <xdr:colOff>0</xdr:colOff>
      <xdr:row>5</xdr:row>
      <xdr:rowOff>1</xdr:rowOff>
    </xdr:to>
    <xdr:pic>
      <xdr:nvPicPr>
        <xdr:cNvPr id="7" name="Imagen 6">
          <a:extLst>
            <a:ext uri="{FF2B5EF4-FFF2-40B4-BE49-F238E27FC236}">
              <a16:creationId xmlns:a16="http://schemas.microsoft.com/office/drawing/2014/main" id="{6AC93059-1641-8F20-1A03-0C3BC3521A39}"/>
            </a:ext>
          </a:extLst>
        </xdr:cNvPr>
        <xdr:cNvPicPr>
          <a:picLocks noChangeAspect="1"/>
        </xdr:cNvPicPr>
      </xdr:nvPicPr>
      <xdr:blipFill>
        <a:blip xmlns:r="http://schemas.openxmlformats.org/officeDocument/2006/relationships" r:embed="rId5"/>
        <a:stretch>
          <a:fillRect/>
        </a:stretch>
      </xdr:blipFill>
      <xdr:spPr>
        <a:xfrm>
          <a:off x="778562" y="533499"/>
          <a:ext cx="2385395" cy="5266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14</xdr:row>
      <xdr:rowOff>85725</xdr:rowOff>
    </xdr:from>
    <xdr:to>
      <xdr:col>2</xdr:col>
      <xdr:colOff>914400</xdr:colOff>
      <xdr:row>23</xdr:row>
      <xdr:rowOff>90487</xdr:rowOff>
    </xdr:to>
    <xdr:graphicFrame macro="">
      <xdr:nvGraphicFramePr>
        <xdr:cNvPr id="2" name="Gráfico 1">
          <a:extLst>
            <a:ext uri="{FF2B5EF4-FFF2-40B4-BE49-F238E27FC236}">
              <a16:creationId xmlns:a16="http://schemas.microsoft.com/office/drawing/2014/main" id="{0FEDA2D6-8A64-72BB-346B-2249C1C1C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238124</xdr:colOff>
      <xdr:row>14</xdr:row>
      <xdr:rowOff>76200</xdr:rowOff>
    </xdr:from>
    <xdr:to>
      <xdr:col>5</xdr:col>
      <xdr:colOff>761999</xdr:colOff>
      <xdr:row>23</xdr:row>
      <xdr:rowOff>95250</xdr:rowOff>
    </xdr:to>
    <xdr:graphicFrame macro="">
      <xdr:nvGraphicFramePr>
        <xdr:cNvPr id="3" name="Gráfico 2">
          <a:extLst>
            <a:ext uri="{FF2B5EF4-FFF2-40B4-BE49-F238E27FC236}">
              <a16:creationId xmlns:a16="http://schemas.microsoft.com/office/drawing/2014/main" id="{D663A2B2-CC71-4D5F-FABD-4998D5A20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14</xdr:row>
      <xdr:rowOff>85725</xdr:rowOff>
    </xdr:from>
    <xdr:to>
      <xdr:col>9</xdr:col>
      <xdr:colOff>0</xdr:colOff>
      <xdr:row>23</xdr:row>
      <xdr:rowOff>95250</xdr:rowOff>
    </xdr:to>
    <xdr:graphicFrame macro="">
      <xdr:nvGraphicFramePr>
        <xdr:cNvPr id="4" name="Gráfico 3">
          <a:extLst>
            <a:ext uri="{FF2B5EF4-FFF2-40B4-BE49-F238E27FC236}">
              <a16:creationId xmlns:a16="http://schemas.microsoft.com/office/drawing/2014/main" id="{204D8750-A2D0-F309-2C1D-191F3A6DA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14</xdr:row>
      <xdr:rowOff>100012</xdr:rowOff>
    </xdr:from>
    <xdr:to>
      <xdr:col>12</xdr:col>
      <xdr:colOff>28575</xdr:colOff>
      <xdr:row>23</xdr:row>
      <xdr:rowOff>104775</xdr:rowOff>
    </xdr:to>
    <xdr:graphicFrame macro="">
      <xdr:nvGraphicFramePr>
        <xdr:cNvPr id="5" name="Gráfico 4">
          <a:extLst>
            <a:ext uri="{FF2B5EF4-FFF2-40B4-BE49-F238E27FC236}">
              <a16:creationId xmlns:a16="http://schemas.microsoft.com/office/drawing/2014/main" id="{3BD4A22E-8BB0-7AA1-F6CD-534B29B62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9525</xdr:colOff>
      <xdr:row>14</xdr:row>
      <xdr:rowOff>109538</xdr:rowOff>
    </xdr:from>
    <xdr:to>
      <xdr:col>15</xdr:col>
      <xdr:colOff>1</xdr:colOff>
      <xdr:row>23</xdr:row>
      <xdr:rowOff>114300</xdr:rowOff>
    </xdr:to>
    <xdr:graphicFrame macro="">
      <xdr:nvGraphicFramePr>
        <xdr:cNvPr id="7" name="Gráfico 6">
          <a:extLst>
            <a:ext uri="{FF2B5EF4-FFF2-40B4-BE49-F238E27FC236}">
              <a16:creationId xmlns:a16="http://schemas.microsoft.com/office/drawing/2014/main" id="{3201EC5B-612A-CCDA-6DE4-762C0B009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238125</xdr:colOff>
      <xdr:row>14</xdr:row>
      <xdr:rowOff>123825</xdr:rowOff>
    </xdr:from>
    <xdr:to>
      <xdr:col>18</xdr:col>
      <xdr:colOff>9525</xdr:colOff>
      <xdr:row>23</xdr:row>
      <xdr:rowOff>114300</xdr:rowOff>
    </xdr:to>
    <xdr:graphicFrame macro="">
      <xdr:nvGraphicFramePr>
        <xdr:cNvPr id="11" name="Gráfico 10">
          <a:extLst>
            <a:ext uri="{FF2B5EF4-FFF2-40B4-BE49-F238E27FC236}">
              <a16:creationId xmlns:a16="http://schemas.microsoft.com/office/drawing/2014/main" id="{1AD10EDA-5BD2-27CD-3EF2-95CCC3970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9525</xdr:colOff>
      <xdr:row>14</xdr:row>
      <xdr:rowOff>133349</xdr:rowOff>
    </xdr:from>
    <xdr:to>
      <xdr:col>21</xdr:col>
      <xdr:colOff>28575</xdr:colOff>
      <xdr:row>23</xdr:row>
      <xdr:rowOff>123824</xdr:rowOff>
    </xdr:to>
    <xdr:graphicFrame macro="">
      <xdr:nvGraphicFramePr>
        <xdr:cNvPr id="12" name="Gráfico 11">
          <a:extLst>
            <a:ext uri="{FF2B5EF4-FFF2-40B4-BE49-F238E27FC236}">
              <a16:creationId xmlns:a16="http://schemas.microsoft.com/office/drawing/2014/main" id="{4751B46A-F73E-3669-8C9E-FAA0C0D31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228600</xdr:colOff>
      <xdr:row>14</xdr:row>
      <xdr:rowOff>138112</xdr:rowOff>
    </xdr:from>
    <xdr:to>
      <xdr:col>24</xdr:col>
      <xdr:colOff>9525</xdr:colOff>
      <xdr:row>23</xdr:row>
      <xdr:rowOff>133350</xdr:rowOff>
    </xdr:to>
    <xdr:graphicFrame macro="">
      <xdr:nvGraphicFramePr>
        <xdr:cNvPr id="13" name="Gráfico 12">
          <a:extLst>
            <a:ext uri="{FF2B5EF4-FFF2-40B4-BE49-F238E27FC236}">
              <a16:creationId xmlns:a16="http://schemas.microsoft.com/office/drawing/2014/main" id="{6DD13A6E-10A4-51ED-E845-CF95FA226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228600</xdr:colOff>
      <xdr:row>14</xdr:row>
      <xdr:rowOff>157162</xdr:rowOff>
    </xdr:from>
    <xdr:to>
      <xdr:col>27</xdr:col>
      <xdr:colOff>13607</xdr:colOff>
      <xdr:row>23</xdr:row>
      <xdr:rowOff>136071</xdr:rowOff>
    </xdr:to>
    <xdr:graphicFrame macro="">
      <xdr:nvGraphicFramePr>
        <xdr:cNvPr id="14" name="Gráfico 13">
          <a:extLst>
            <a:ext uri="{FF2B5EF4-FFF2-40B4-BE49-F238E27FC236}">
              <a16:creationId xmlns:a16="http://schemas.microsoft.com/office/drawing/2014/main" id="{C832D073-B96A-64EA-3D15-AEC828409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485774</xdr:colOff>
      <xdr:row>6</xdr:row>
      <xdr:rowOff>184006</xdr:rowOff>
    </xdr:from>
    <xdr:to>
      <xdr:col>37</xdr:col>
      <xdr:colOff>266700</xdr:colOff>
      <xdr:row>21</xdr:row>
      <xdr:rowOff>69706</xdr:rowOff>
    </xdr:to>
    <xdr:graphicFrame macro="">
      <xdr:nvGraphicFramePr>
        <xdr:cNvPr id="9" name="Gráfico 8">
          <a:extLst>
            <a:ext uri="{FF2B5EF4-FFF2-40B4-BE49-F238E27FC236}">
              <a16:creationId xmlns:a16="http://schemas.microsoft.com/office/drawing/2014/main" id="{3A1B6A02-7A7A-6F17-AA66-8D5E30C39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chnicalService" refreshedDate="46108.863950810184" createdVersion="8" refreshedVersion="8" minRefreshableVersion="3" recordCount="183" xr:uid="{F7A3B63F-27B1-4443-9E43-267572CBBDB0}">
  <cacheSource type="worksheet">
    <worksheetSource name="Tabla1"/>
  </cacheSource>
  <cacheFields count="13">
    <cacheField name="FECHA" numFmtId="14">
      <sharedItems containsNonDate="0" containsDate="1" containsString="0" containsBlank="1" minDate="2015-10-17T00:00:00" maxDate="2025-12-31T00:00:00"/>
    </cacheField>
    <cacheField name="EQUIPO" numFmtId="0">
      <sharedItems containsBlank="1" count="10">
        <s v="CATERPILLAR 1"/>
        <s v="TOYOTA 8"/>
        <s v="TOYOTA 9"/>
        <s v="TOYOTA 12"/>
        <s v="TOYOTA 11"/>
        <s v="TOYOTA 10"/>
        <s v="TOYOTA 13"/>
        <s v="TOYOTA 5"/>
        <m/>
        <s v="NISSAN 7"/>
      </sharedItems>
    </cacheField>
    <cacheField name="SISTEMA " numFmtId="0">
      <sharedItems containsBlank="1"/>
    </cacheField>
    <cacheField name="TIEMPO" numFmtId="0">
      <sharedItems containsString="0" containsBlank="1" containsNumber="1" containsInteger="1" minValue="1" maxValue="432"/>
    </cacheField>
    <cacheField name="NOVEDAD" numFmtId="0">
      <sharedItems containsBlank="1"/>
    </cacheField>
    <cacheField name="REPUESTOS" numFmtId="0">
      <sharedItems containsBlank="1" longText="1"/>
    </cacheField>
    <cacheField name="No. COTIZACION" numFmtId="0">
      <sharedItems containsBlank="1"/>
    </cacheField>
    <cacheField name="PROCESO " numFmtId="0">
      <sharedItems containsBlank="1" count="4">
        <m/>
        <s v="OK"/>
        <s v="P/TE COTIZACION" u="1"/>
        <s v="COT No. 250741" u="1"/>
      </sharedItems>
    </cacheField>
    <cacheField name="HOROMETRO" numFmtId="0">
      <sharedItems containsString="0" containsBlank="1" containsNumber="1" containsInteger="1" minValue="6373" maxValue="58832"/>
    </cacheField>
    <cacheField name="COSTO" numFmtId="164">
      <sharedItems containsString="0" containsBlank="1" containsNumber="1" containsInteger="1" minValue="60000" maxValue="8340000"/>
    </cacheField>
    <cacheField name="PREVENTIVO" numFmtId="0">
      <sharedItems containsBlank="1"/>
    </cacheField>
    <cacheField name="MES" numFmtId="0">
      <sharedItems containsString="0" containsBlank="1" containsNumber="1" containsInteger="1" minValue="1" maxValue="12" count="11">
        <n v="4"/>
        <n v="5"/>
        <n v="6"/>
        <n v="7"/>
        <n v="8"/>
        <n v="9"/>
        <n v="10"/>
        <n v="11"/>
        <n v="12"/>
        <m/>
        <n v="1" u="1"/>
      </sharedItems>
    </cacheField>
    <cacheField name="AÑO" numFmtId="0">
      <sharedItems containsSemiMixedTypes="0" containsString="0" containsNumber="1" containsInteger="1" minValue="1900" maxValue="20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
  <r>
    <d v="2025-04-01T00:00:00"/>
    <x v="0"/>
    <s v="ENCENDIDO"/>
    <n v="8"/>
    <s v="PROBLEMA DE ENCENDIDO, SE LE CAMBIA BOBINA "/>
    <s v="01 BOBINA"/>
    <m/>
    <x v="0"/>
    <m/>
    <m/>
    <m/>
    <x v="0"/>
    <n v="2025"/>
  </r>
  <r>
    <d v="2025-04-01T00:00:00"/>
    <x v="1"/>
    <s v="DIRECCION"/>
    <n v="7"/>
    <s v="FRENOS ROTOS DE LA RUEDA TRASERA, SE LE CAMBIA SEIS (6) PERNOS"/>
    <s v="06 PERNOS "/>
    <m/>
    <x v="0"/>
    <m/>
    <m/>
    <m/>
    <x v="0"/>
    <n v="2025"/>
  </r>
  <r>
    <d v="2025-04-02T00:00:00"/>
    <x v="0"/>
    <s v="ENCENDIDO"/>
    <n v="36"/>
    <s v="PROBLEMAS EN ARRANQUE SALE PARA REPARACION "/>
    <s v="04 ESCOBILLAS, 02 RODAMIENTOS, 01 AUTOMATICO"/>
    <m/>
    <x v="0"/>
    <m/>
    <m/>
    <m/>
    <x v="0"/>
    <n v="2025"/>
  </r>
  <r>
    <d v="2025-04-02T00:00:00"/>
    <x v="2"/>
    <s v="ENCENDIDO"/>
    <n v="7"/>
    <s v="SE EVIDENCIA PROBLEMAS DE ENCENDIDO, SE REALIZA INTERCAMBIO DE BOBINAS CON LA 8"/>
    <s v="01 BOBINA "/>
    <m/>
    <x v="0"/>
    <m/>
    <m/>
    <m/>
    <x v="0"/>
    <n v="2025"/>
  </r>
  <r>
    <d v="2025-04-07T00:00:00"/>
    <x v="2"/>
    <s v="MTTO PREVENTIVO"/>
    <n v="7"/>
    <s v="ENTRA AL TALLER POR BAJO NIVEL ACEITE MOTOR, SE LE REALIZA MANTENIMIENTO PREVENTIVO."/>
    <s v="01 FILTRO ACEITE, 02 FILTRO DE AIRE, 01 ACEITE MOTOR, 01 GRASA HH S 500, 01 LUB DE CADENA"/>
    <m/>
    <x v="0"/>
    <m/>
    <m/>
    <m/>
    <x v="0"/>
    <n v="2025"/>
  </r>
  <r>
    <d v="2025-04-10T00:00:00"/>
    <x v="0"/>
    <s v="TRACCION"/>
    <n v="8"/>
    <s v="EQUIPO VARADO EN TALLER POR MARCHAS, SE CAMBIA ELECTROVALVULA DE MARCHAS QUEDA OPERATIVA"/>
    <s v="01 ELECROVALVULA DE MARCHAS"/>
    <m/>
    <x v="0"/>
    <m/>
    <m/>
    <m/>
    <x v="0"/>
    <n v="2025"/>
  </r>
  <r>
    <d v="2025-04-11T00:00:00"/>
    <x v="3"/>
    <s v="ENCENDIDO"/>
    <n v="53"/>
    <s v="FALLA DISTTRIBUIDOR DE CORRIENTE "/>
    <s v="01 DISTRIBUIDOR DE CORRIENTE "/>
    <m/>
    <x v="0"/>
    <m/>
    <m/>
    <m/>
    <x v="0"/>
    <n v="2025"/>
  </r>
  <r>
    <d v="2025-04-12T00:00:00"/>
    <x v="4"/>
    <s v="MASTIL"/>
    <n v="5"/>
    <s v="TORNILLOS DEL DESPLAZADOR LATERAL ROTO"/>
    <s v="01 TORNILLOS "/>
    <m/>
    <x v="0"/>
    <m/>
    <m/>
    <m/>
    <x v="0"/>
    <n v="2025"/>
  </r>
  <r>
    <d v="2025-04-15T00:00:00"/>
    <x v="4"/>
    <s v="FRENOS"/>
    <n v="1"/>
    <s v="SE LE CALIBRAN FRENOS, QUEDA OPERATIVA "/>
    <m/>
    <m/>
    <x v="0"/>
    <m/>
    <m/>
    <m/>
    <x v="0"/>
    <n v="2025"/>
  </r>
  <r>
    <d v="2025-04-17T00:00:00"/>
    <x v="1"/>
    <s v="TRACCION"/>
    <n v="6"/>
    <s v="SE CORRIGE FUGA ACEITE TRANSMISION "/>
    <s v="04 ORING"/>
    <m/>
    <x v="0"/>
    <m/>
    <m/>
    <m/>
    <x v="0"/>
    <n v="2025"/>
  </r>
  <r>
    <d v="2025-04-18T00:00:00"/>
    <x v="1"/>
    <s v="FRENOS"/>
    <n v="80"/>
    <s v="EQUIPO FUERA DE SERVICIO POR FALLA DE FRENOS"/>
    <s v="04 BANDAS,02 RETENEDOPRES CAMPANAS, 02 RETENEDORES EJE, 02 TENSOR BANDAS "/>
    <m/>
    <x v="0"/>
    <n v="44070"/>
    <m/>
    <m/>
    <x v="0"/>
    <n v="2025"/>
  </r>
  <r>
    <d v="2025-04-18T00:00:00"/>
    <x v="2"/>
    <s v="SIST. HIDRAULICO"/>
    <n v="5"/>
    <s v="CAMBIO DE MANGUERAS, SISTEMA HIDRAULICO "/>
    <s v="01 MANGUERAS "/>
    <m/>
    <x v="0"/>
    <m/>
    <m/>
    <m/>
    <x v="0"/>
    <n v="2025"/>
  </r>
  <r>
    <d v="2025-04-18T00:00:00"/>
    <x v="5"/>
    <s v="TRACCION"/>
    <n v="5"/>
    <s v="FUGA DE ACEITE POR EJE, SE RETIRA VINIPEL Y SE ENTREGA OPERATIVA."/>
    <s v="01 SILICONA ULTRAGADE"/>
    <m/>
    <x v="0"/>
    <m/>
    <m/>
    <m/>
    <x v="0"/>
    <n v="2025"/>
  </r>
  <r>
    <d v="2025-04-21T00:00:00"/>
    <x v="4"/>
    <s v="FRENOS"/>
    <n v="2"/>
    <s v="SE CALIBRAN LOS FRENOS Y SE REGULO LA ACELERACION "/>
    <m/>
    <m/>
    <x v="0"/>
    <m/>
    <m/>
    <m/>
    <x v="0"/>
    <n v="2025"/>
  </r>
  <r>
    <d v="2025-04-22T00:00:00"/>
    <x v="2"/>
    <s v="DIRECCION"/>
    <n v="2"/>
    <s v="PERNOS ROTOS, SE REALIZO CAMBIO, EQUIPO OPERATIVO "/>
    <s v="06 PERNOS "/>
    <m/>
    <x v="0"/>
    <m/>
    <m/>
    <m/>
    <x v="0"/>
    <n v="2025"/>
  </r>
  <r>
    <d v="2025-04-24T00:00:00"/>
    <x v="1"/>
    <s v="COMBUSTIBLE"/>
    <n v="24"/>
    <s v="VARADA POR SISTEMA LPG"/>
    <s v="01 EMPAQUETADURA DEL FILTRO, VAPORIZADOR, 01 MEZCLADOR"/>
    <m/>
    <x v="0"/>
    <m/>
    <m/>
    <m/>
    <x v="0"/>
    <n v="2025"/>
  </r>
  <r>
    <d v="2025-04-24T00:00:00"/>
    <x v="2"/>
    <s v="COMBUSTIBLE"/>
    <n v="4"/>
    <s v="CILINDRO DE GAS VACIO, EQUIPO OPERATIVO"/>
    <m/>
    <m/>
    <x v="0"/>
    <m/>
    <m/>
    <m/>
    <x v="0"/>
    <n v="2025"/>
  </r>
  <r>
    <d v="2025-04-27T00:00:00"/>
    <x v="1"/>
    <s v="FRENOS"/>
    <n v="3"/>
    <s v="MAQUINA VARADA POR FRENOS, SE LE CAMBIA BOMBA PARA LOS FRENOS"/>
    <s v="01 BOMBA DE FRENOS"/>
    <m/>
    <x v="0"/>
    <n v="44110"/>
    <m/>
    <m/>
    <x v="0"/>
    <n v="2025"/>
  </r>
  <r>
    <d v="2025-04-27T00:00:00"/>
    <x v="2"/>
    <s v="SIST. HIDRAULICO"/>
    <n v="4"/>
    <s v="MAQUINA VARADA POR UNA MANGUERA SUELTA, EQUIPO OPERATIVO"/>
    <m/>
    <m/>
    <x v="0"/>
    <m/>
    <m/>
    <m/>
    <x v="0"/>
    <n v="2025"/>
  </r>
  <r>
    <d v="2025-04-28T00:00:00"/>
    <x v="2"/>
    <s v="DIRECCION"/>
    <n v="3"/>
    <s v="RUEDA TRASERA SUELTA POR DAÑO EN RIN, SE AJUSTAN TUERCAS, EQUIPO OPERATIVO"/>
    <m/>
    <m/>
    <x v="0"/>
    <m/>
    <m/>
    <m/>
    <x v="0"/>
    <n v="2025"/>
  </r>
  <r>
    <d v="2025-04-30T00:00:00"/>
    <x v="2"/>
    <s v="MASTIL"/>
    <n v="1"/>
    <s v="DAÑO EN LOS DESLIZADORES INFERIORES DEL CARRO PORTAHORQUILLAS, EQUIPO OPERATIVO"/>
    <s v="02 DESLIZADORES "/>
    <m/>
    <x v="0"/>
    <m/>
    <m/>
    <m/>
    <x v="0"/>
    <n v="2025"/>
  </r>
  <r>
    <d v="2025-05-01T00:00:00"/>
    <x v="4"/>
    <s v="TRACCION"/>
    <n v="432"/>
    <s v="EQUIPO FUERA DE SERVICIO POR TRANSMISION AUTOMATICA "/>
    <s v="(1) WIRE ASSEMBLY INCHING,  (1)  WIRE-SOLENOID, (1)  FILTER TRANSMISIÓN, (2)  HOSE- LOW PRESSURE, (1)  SEAL KIT-TRANSMISSION, (1) SEAL KIT-TRANSMISSION, (10) PLATE -STEEL CLUTCH, (10) DISCO EMBRAGUE HIDRAULICO, (02) _x000a_BANDAS FRENOS, (01) SEAL-OIL RUBBER, (1) HUB OIL SEAL METAL, (8) DEXRON III ACEITE TRANSMISIÓN Y DIRECCIÓN 1/4, (1) LIQUIDO DE FRENOS DOT4"/>
    <m/>
    <x v="0"/>
    <m/>
    <m/>
    <m/>
    <x v="1"/>
    <n v="2025"/>
  </r>
  <r>
    <d v="2025-05-05T00:00:00"/>
    <x v="2"/>
    <s v="SIST. HIDRAULICO"/>
    <n v="4"/>
    <s v="NOVEDAD EN LA BOMBA HD _x000a_SE TOMA DE LA TY No. 11  Y CAMBIO DEL ACEITE POR MEZCLA CON EL DE MOTOR "/>
    <s v="01 BOMBA HIDRAULICA, 10 GALONES ACEITE HD ISO 68"/>
    <m/>
    <x v="0"/>
    <m/>
    <m/>
    <m/>
    <x v="1"/>
    <n v="2025"/>
  </r>
  <r>
    <d v="2025-05-09T00:00:00"/>
    <x v="6"/>
    <s v="POTENCIA"/>
    <n v="3"/>
    <s v="NOVEDAD EN EL CARGADOR DE LA BATERÍA._x000a_SE REPARA CABLEADO DEL CARGADOR POR DETERIORO."/>
    <m/>
    <m/>
    <x v="0"/>
    <m/>
    <m/>
    <m/>
    <x v="1"/>
    <n v="2025"/>
  </r>
  <r>
    <d v="2025-05-13T00:00:00"/>
    <x v="1"/>
    <s v="TRACCION"/>
    <n v="3"/>
    <s v="PRESENTA NOVEDAD  EN MARCHAS_x000a_SE CAMBIA CONTROL DE MARCHAS POR EL DE LA TY No. 11"/>
    <m/>
    <m/>
    <x v="0"/>
    <m/>
    <m/>
    <m/>
    <x v="1"/>
    <n v="2025"/>
  </r>
  <r>
    <d v="2025-05-15T00:00:00"/>
    <x v="7"/>
    <s v="SEGURIDAD"/>
    <n v="1"/>
    <s v="NOVEDAD EN SISTEMA DE LUCES_x000a_SE CAMBIA LUZ ESTOBER"/>
    <s v="01 LUZ ESTOBER "/>
    <m/>
    <x v="0"/>
    <m/>
    <m/>
    <m/>
    <x v="1"/>
    <n v="2025"/>
  </r>
  <r>
    <d v="2025-05-15T00:00:00"/>
    <x v="1"/>
    <s v="SIST. HIDRAULICO"/>
    <n v="1"/>
    <s v="PRESENTA FUGA DE ACEITE SE REALIZO CAMBIO DE FILTRO RETORNO DEL HD  "/>
    <s v="01 FILTRO RETORNO DEL HD "/>
    <m/>
    <x v="0"/>
    <m/>
    <m/>
    <m/>
    <x v="1"/>
    <n v="2025"/>
  </r>
  <r>
    <d v="2025-05-19T00:00:00"/>
    <x v="1"/>
    <s v="FRENOS"/>
    <n v="1"/>
    <s v="NOVEDAD EN FRENO DE PARQUEO_x000a_*SE HIZOCAMBIO GUAYA DEL FRENO DE PARQUEO SE TOMA DE LA TY No. 11"/>
    <m/>
    <m/>
    <x v="0"/>
    <n v="44368"/>
    <m/>
    <m/>
    <x v="1"/>
    <n v="2025"/>
  </r>
  <r>
    <d v="2025-05-21T00:00:00"/>
    <x v="0"/>
    <s v="DIRECCION"/>
    <n v="3"/>
    <s v="PRESENTA NOVEDAD EN EL SISTEMA DE DIRECCION._x000a_SE CAMBIA RODAMIENTO AXIAL DEL CACHO."/>
    <s v="01 RODAMIENTO AXIAL, 01 SPLINDER"/>
    <m/>
    <x v="0"/>
    <m/>
    <m/>
    <m/>
    <x v="1"/>
    <n v="2025"/>
  </r>
  <r>
    <d v="2025-05-21T00:00:00"/>
    <x v="1"/>
    <s v="TRACCION"/>
    <n v="1"/>
    <s v="PRESENTA FUGA DE ACEITE _x000a_INSPECCION DE FUGA POR EL RETENEDOR DEL CARDAN"/>
    <m/>
    <m/>
    <x v="0"/>
    <m/>
    <m/>
    <m/>
    <x v="1"/>
    <n v="2025"/>
  </r>
  <r>
    <d v="2025-05-24T00:00:00"/>
    <x v="5"/>
    <s v="TRACCION"/>
    <n v="41"/>
    <s v="EQUIPO INOPERATIVO_x000a_*NOVEDAD EN  RUEDA IZQUIERDA _x000a_*SE REALIZA SOLDADURA AL RIN "/>
    <m/>
    <m/>
    <x v="0"/>
    <m/>
    <m/>
    <m/>
    <x v="1"/>
    <n v="2025"/>
  </r>
  <r>
    <d v="2025-05-26T00:00:00"/>
    <x v="2"/>
    <s v="ENCENDIDO"/>
    <n v="6"/>
    <s v="NOVEDAD EN EL ENCENDIDO._x000a_*EQUIPO OPERATIVO SE LE CAMBIA EMPAQUETADURA Y MEZCLADOR COMPLETO."/>
    <s v="01 EMPAQUETADURA, 01 MEZCLADOR "/>
    <m/>
    <x v="0"/>
    <m/>
    <m/>
    <m/>
    <x v="1"/>
    <n v="2025"/>
  </r>
  <r>
    <d v="2025-05-27T00:00:00"/>
    <x v="3"/>
    <s v="SEGURIDAD"/>
    <n v="1"/>
    <s v="LUZ ESTROBER NO FUNCIONA, SE REALIZA CAMBIO DE LA LUZ AVERIADA"/>
    <s v="01 LUZ ESTROBER"/>
    <m/>
    <x v="0"/>
    <n v="17496"/>
    <n v="120000"/>
    <m/>
    <x v="1"/>
    <n v="2025"/>
  </r>
  <r>
    <d v="2025-05-27T00:00:00"/>
    <x v="5"/>
    <s v="MASTIL"/>
    <n v="10"/>
    <s v="NOVEDAD EN EL MÁSTIL_x000a_*SE RECTIFICAN ROSCAS DEL RESPALDO DE CARGA E INSTALAN TORNILLOS"/>
    <s v="04 TORNILLOS "/>
    <m/>
    <x v="0"/>
    <m/>
    <m/>
    <m/>
    <x v="1"/>
    <n v="2025"/>
  </r>
  <r>
    <d v="2025-05-29T00:00:00"/>
    <x v="1"/>
    <s v="TRACCION"/>
    <n v="24"/>
    <s v="PRESENTA FUGA POR RETENEDOR DEL CARDÁN (DIFERENCIAL)_x000a_SE TOMA BOBINA DEL DISTRIBUIDOR PARA HABILITAR TY No.  09"/>
    <s v="01 RETENEDOR DE CARDAN, 01 DISTRIBUIDOR "/>
    <m/>
    <x v="0"/>
    <m/>
    <m/>
    <m/>
    <x v="1"/>
    <n v="2025"/>
  </r>
  <r>
    <d v="2025-05-29T00:00:00"/>
    <x v="2"/>
    <s v="ENCENDIDO"/>
    <n v="3"/>
    <s v="NOVEDAD EN EL ENCENDIDO_x000a_REPARACIÓN DEL DISTRIBUIDOR DE CORRIENTE (SE TOMAN REPUESTOS DE LA TY 08)."/>
    <m/>
    <m/>
    <x v="0"/>
    <m/>
    <m/>
    <m/>
    <x v="1"/>
    <n v="2025"/>
  </r>
  <r>
    <d v="2025-05-30T00:00:00"/>
    <x v="4"/>
    <s v="FRENOS"/>
    <n v="7"/>
    <s v="NOVEDAD EN LOS FRENOS_x000a_*REPARACÓN FRENOS LADO IZQUIERDO"/>
    <s v="02 BANDAS FRENO, 01 RETENEDOR CAMPANA, 01 RETEDOR EJE "/>
    <m/>
    <x v="0"/>
    <m/>
    <m/>
    <m/>
    <x v="1"/>
    <n v="2025"/>
  </r>
  <r>
    <d v="2025-05-27T00:00:00"/>
    <x v="8"/>
    <s v="SEGURIDAD"/>
    <n v="1"/>
    <s v="SE INSTALA LUZ ESTOBER A LA TY No.12 (AVERIADA)"/>
    <s v="01 LUZ ESTOBER "/>
    <m/>
    <x v="0"/>
    <m/>
    <m/>
    <m/>
    <x v="1"/>
    <n v="2025"/>
  </r>
  <r>
    <d v="2025-06-03T00:00:00"/>
    <x v="7"/>
    <s v="SIST. HIDRAULICO"/>
    <n v="3"/>
    <s v="NOVEDAD EN SISTEMA DE DIRECCIÓN_x000a_CAMBIO DE CILINDRO POR FUGA INTERNA"/>
    <s v="01 KIT DE EMPAQUETADURA"/>
    <m/>
    <x v="0"/>
    <m/>
    <m/>
    <m/>
    <x v="2"/>
    <n v="2025"/>
  </r>
  <r>
    <d v="2025-06-03T00:00:00"/>
    <x v="9"/>
    <s v="FRENOS"/>
    <n v="1"/>
    <s v="NOVEDAD EN SISTEMA DE FRENOS_x000a_GRADUACÍON DE GUAYAS DEL FRENO"/>
    <m/>
    <m/>
    <x v="0"/>
    <m/>
    <m/>
    <m/>
    <x v="2"/>
    <n v="2025"/>
  </r>
  <r>
    <d v="2025-06-04T00:00:00"/>
    <x v="1"/>
    <s v="COMBUSTIBLE"/>
    <n v="17"/>
    <s v="PRESENTA NOVEDAD EN EL ENCENDIDO_x000a_REVISIÓN DEL SISTEMA LPG (CAMBIO DE EMPAQ VAPORIZADOR-FILTRO)"/>
    <s v="01 KIT EMPAQUETADURA VAPORIZADOR "/>
    <m/>
    <x v="0"/>
    <m/>
    <m/>
    <m/>
    <x v="2"/>
    <n v="2025"/>
  </r>
  <r>
    <d v="2025-06-05T00:00:00"/>
    <x v="1"/>
    <s v="ENCENDIDO"/>
    <n v="14"/>
    <s v="PRESENTA NOVEDAD EN EL ENCENDIDO_x000a_FALLA EN EL DISTRIBUIDOR (GARANTÍA)."/>
    <m/>
    <m/>
    <x v="0"/>
    <m/>
    <m/>
    <m/>
    <x v="2"/>
    <n v="2025"/>
  </r>
  <r>
    <d v="2025-06-06T00:00:00"/>
    <x v="7"/>
    <s v="MTTO PREVENTIVO"/>
    <n v="4"/>
    <s v="SE REALIZÓ MTTO PREVENTIVO"/>
    <s v="01 FILTRO ACEITE, 02 FILTRO DE AIRE, 01 ACEITE MOTOR, 01 GRASA HH S 500, 01 LUB DE CADENA"/>
    <m/>
    <x v="0"/>
    <n v="13451"/>
    <m/>
    <s v="M1 (250)"/>
    <x v="2"/>
    <n v="2025"/>
  </r>
  <r>
    <d v="2025-06-06T00:00:00"/>
    <x v="3"/>
    <s v="MTTO PREVENTIVO"/>
    <n v="4"/>
    <s v="SE REALIZÓ MTTO PREVENTIVO"/>
    <s v="01 FILTRO ACEITE, 02 FILTRO DE AIRE, 01 ACEITE MOTOR, 01 GRASA HH S 500, 01 LUB DE CADENA"/>
    <m/>
    <x v="0"/>
    <n v="17647"/>
    <m/>
    <s v="M1 (250)"/>
    <x v="2"/>
    <n v="2025"/>
  </r>
  <r>
    <d v="2025-06-07T00:00:00"/>
    <x v="2"/>
    <s v="MTTO PREVENTIVO"/>
    <n v="4"/>
    <s v="SE REALIZÓ MTTO PREVENTIVO"/>
    <s v="01 FILTRO ACEITE, 02 FILTRO DE AIRE, 01 ACEITE MOTOR, 01 GRASA HH S 500, 01 LUB DE CADENA"/>
    <m/>
    <x v="0"/>
    <n v="43384"/>
    <m/>
    <s v="M1 (250)"/>
    <x v="2"/>
    <n v="2025"/>
  </r>
  <r>
    <d v="2025-06-09T00:00:00"/>
    <x v="5"/>
    <s v="MTTO PREVENTIVO"/>
    <n v="4"/>
    <s v="SE REALIZÓ MTTO PREVENTIVO"/>
    <s v="01 LIMP MULTIPRÓSITO, 01 GRASA HHS 500, 01 LUB DE CADENAS, 01 GRASA, 04 AGUA  DE BATERÍAS"/>
    <m/>
    <x v="0"/>
    <n v="15219"/>
    <m/>
    <s v="M1 (250)"/>
    <x v="2"/>
    <n v="2025"/>
  </r>
  <r>
    <d v="2025-06-12T00:00:00"/>
    <x v="4"/>
    <s v="COMBUSTIBLE"/>
    <n v="1"/>
    <s v="NOVEDAD EN EL ENCENDIDO _x000a_NO ENCIENDE POR FALTA DE COMBUSTIBLE (CILINDRO VACÍO)"/>
    <m/>
    <m/>
    <x v="0"/>
    <m/>
    <m/>
    <m/>
    <x v="2"/>
    <n v="2025"/>
  </r>
  <r>
    <d v="2025-06-13T00:00:00"/>
    <x v="9"/>
    <s v="REFRIGERACION"/>
    <n v="86"/>
    <s v="EQUIPO INOPERATIVO_x000a_POLEA VENTILADOR FRACTURADA "/>
    <s v="01 POLEA VENTILADOR, 04 TORNILLOS "/>
    <s v="PTE COTIZACION"/>
    <x v="1"/>
    <m/>
    <n v="420000"/>
    <m/>
    <x v="2"/>
    <n v="2025"/>
  </r>
  <r>
    <d v="2025-06-14T00:00:00"/>
    <x v="0"/>
    <s v="POTENCIA"/>
    <n v="6"/>
    <s v="EQUIPO INOPERATIVO _x000a_CORREA DE REPARTICIÓN ROTA_x000a_SE ENTREGA OPERATIVO "/>
    <m/>
    <m/>
    <x v="0"/>
    <m/>
    <m/>
    <m/>
    <x v="2"/>
    <n v="2025"/>
  </r>
  <r>
    <d v="2025-06-19T00:00:00"/>
    <x v="9"/>
    <s v="SIST. HIDRAULICO"/>
    <n v="28"/>
    <s v="CILINDRO DE DIRECCION AVERIADO "/>
    <s v="01 KIT EMPAQUETADURA "/>
    <s v="COT No. 250608"/>
    <x v="1"/>
    <m/>
    <n v="350000"/>
    <m/>
    <x v="2"/>
    <n v="2025"/>
  </r>
  <r>
    <d v="2025-06-20T00:00:00"/>
    <x v="1"/>
    <s v="MTTO PREVENTIVO"/>
    <n v="4"/>
    <s v="SE REALIZA MTTO PREVENTIVO"/>
    <s v="01 FILTRO ACEITE, 02 FILTRO DE AIRE, 01 ACEITE MOTOR, 01 GRASA HH S 500, 01 LUB DE CADENA"/>
    <m/>
    <x v="0"/>
    <m/>
    <m/>
    <s v="M1 (250)"/>
    <x v="2"/>
    <n v="2025"/>
  </r>
  <r>
    <d v="2025-06-13T00:00:00"/>
    <x v="1"/>
    <s v="TRACCION"/>
    <n v="40"/>
    <s v="EQUIPO INOPERATIVO RUPTURA DEL TORNILLO DE SUJECION DEL HOUSING "/>
    <s v="EQUIPO FUERA DE SERVICIO POR TORNILLO DEL HOUSING ROTO. SE  DESMONTA SISTEMA DE TRACCIÓN PARA EVALUACIÓN Y DIAGNÓSTICO EN EL TORNO "/>
    <m/>
    <x v="1"/>
    <m/>
    <n v="873000"/>
    <m/>
    <x v="2"/>
    <n v="2025"/>
  </r>
  <r>
    <d v="2025-06-25T00:00:00"/>
    <x v="4"/>
    <s v="MTTO PREVENTIVO"/>
    <n v="4"/>
    <s v="SE REALIZA MTTO PREVENTIVO"/>
    <s v="01 FILTRO ACEITE, 02 FILTRO DE AIRE, 01 ACEITE MOTOR, 01 GRASA HH S 500, 01 LUB DE CADENA"/>
    <m/>
    <x v="0"/>
    <n v="37176"/>
    <m/>
    <s v="M1 (250)"/>
    <x v="2"/>
    <n v="2025"/>
  </r>
  <r>
    <d v="2025-06-25T00:00:00"/>
    <x v="6"/>
    <s v="MTTO PREVENTIVO"/>
    <n v="4"/>
    <s v="*"/>
    <s v="01 LIMP MULTIPRÓSITO, 01 GRASA HHS 500, 01 LUB DE CADENAS, 01 GRASA, 04 AGUA  DE BATERÍAS"/>
    <m/>
    <x v="0"/>
    <n v="7233"/>
    <m/>
    <s v="M1 (250)"/>
    <x v="2"/>
    <n v="2025"/>
  </r>
  <r>
    <d v="2025-06-26T00:00:00"/>
    <x v="3"/>
    <s v="MTTO PREVENTIVO"/>
    <n v="4"/>
    <s v="SE REALIZA MTTO PREVENTIVO"/>
    <s v="01 FILTRO ACEITE, 02 FILTRO DE AIRE, 01 ACEITE MOTOR, 01 GRASA HH S 500, 01 LUB DE CADENA"/>
    <m/>
    <x v="0"/>
    <n v="17924"/>
    <m/>
    <s v="M1 (250)"/>
    <x v="2"/>
    <n v="2025"/>
  </r>
  <r>
    <d v="2025-07-04T00:00:00"/>
    <x v="5"/>
    <s v="MTTO PREVENTIVO"/>
    <n v="4"/>
    <s v="SE REALIZA MTTO PREVENTIVO"/>
    <s v="01 ACEITE DE MOTOR, 02 FILTRO DE AIRE, 01 FILTRO DE MOTOR, 01 LUB DE CADENAS, 01 LIMP MULTIPROPOSITO, 01 GRASA HHS 500, 01 GRASA, 01  ESTOPA"/>
    <m/>
    <x v="0"/>
    <n v="15468"/>
    <m/>
    <s v="M1 (250)"/>
    <x v="3"/>
    <n v="2025"/>
  </r>
  <r>
    <d v="2025-07-04T00:00:00"/>
    <x v="1"/>
    <s v="SIST. HIDRAULICO"/>
    <n v="6"/>
    <s v="NOVEDAD EN MANGUERA DEL SISTEMA SIDE SHIFT SE REALIZA CAMBIO DE MANGUERA SEGÚN MUESTRA"/>
    <s v="01  MANGUERA SIDE SHIFT"/>
    <m/>
    <x v="1"/>
    <n v="44530"/>
    <n v="650000"/>
    <m/>
    <x v="3"/>
    <n v="2025"/>
  </r>
  <r>
    <d v="2025-07-05T00:00:00"/>
    <x v="7"/>
    <s v="MTTO PREVENTIVO"/>
    <n v="4"/>
    <s v="SE REALIZA MTTO PREVENTIVO"/>
    <s v="01 ACEITE DE MOTOR, 02 FILTRO DE AIRE, 01 FILTRO DE MOTOR, 01 LUB DE CADENAS, 01 LIMP MULTIPROPOSITO, 01 GRASA HHS 500, 01 GRASA, 01  ESTOPA"/>
    <m/>
    <x v="0"/>
    <n v="13710"/>
    <m/>
    <s v="M1 (250)"/>
    <x v="3"/>
    <n v="2025"/>
  </r>
  <r>
    <d v="2025-07-05T00:00:00"/>
    <x v="2"/>
    <s v="MTTO PREVENTIVO"/>
    <n v="4"/>
    <s v="SE REALIZA MTTO PREVENTIVO"/>
    <s v="01 ACEITE DE MOTOR, 02 FILTRO DE AIRE, 01 FILTRO DE MOTOR, 01 LUB DE CADENAS, 01 LIMP MULTIPROPOSITO, 01 GRASA HHS 500, 01 GRASA, 01  ESTOPA"/>
    <m/>
    <x v="0"/>
    <n v="43631"/>
    <m/>
    <s v="M1 (250)"/>
    <x v="3"/>
    <n v="2025"/>
  </r>
  <r>
    <d v="2025-07-11T00:00:00"/>
    <x v="4"/>
    <s v="REFRIGERACION"/>
    <n v="2"/>
    <s v="NOVEDAD EN LA CORREA DE SERVICIOS "/>
    <s v="01  CORREA"/>
    <m/>
    <x v="1"/>
    <n v="37231"/>
    <n v="60000"/>
    <m/>
    <x v="3"/>
    <n v="2025"/>
  </r>
  <r>
    <d v="2025-07-11T00:00:00"/>
    <x v="4"/>
    <s v="ENCENDIDO"/>
    <n v="3"/>
    <s v="NOVEDAD EN EL ALTENADOR SE REALIZAEL CAMBIO"/>
    <s v="01 ALTERNADOR REPARADO"/>
    <m/>
    <x v="1"/>
    <n v="37231"/>
    <n v="580000"/>
    <m/>
    <x v="3"/>
    <n v="2025"/>
  </r>
  <r>
    <d v="2025-07-07T00:00:00"/>
    <x v="0"/>
    <s v="SIST. HIDRAULICO"/>
    <n v="52"/>
    <s v="NOVEDAD EN EL CILINDRO DE INCLINACION, SE REALIZA REPARACION DEL CILINDRO, CAMBIO DE EMPAQUETADURA Y FABRICACION DEL EJE POR RUPTURA"/>
    <s v="01  KIT DE EMPAQUETADURA, 01  EJE CROMADO, SERVICIO DE TORNO"/>
    <m/>
    <x v="1"/>
    <n v="6373"/>
    <n v="915000"/>
    <m/>
    <x v="3"/>
    <n v="2025"/>
  </r>
  <r>
    <d v="2025-07-09T00:00:00"/>
    <x v="2"/>
    <s v="FRENOS"/>
    <n v="1"/>
    <s v="NOVEDAD EN LOS FRENOS, SE REALIZA AJUSTE DE LOS TENSORES DE LAS BANDAS"/>
    <m/>
    <m/>
    <x v="0"/>
    <n v="43631"/>
    <m/>
    <m/>
    <x v="3"/>
    <n v="2025"/>
  </r>
  <r>
    <d v="2025-07-09T00:00:00"/>
    <x v="3"/>
    <s v="COMBUSTIBLE"/>
    <n v="3"/>
    <s v="NOVEDAD EN EL SISTEMA LPG, SE REALIZA LIMPIEZA DEL FILTRO DEL GAS Y SINCRINIZACION DEL REGULADOR"/>
    <m/>
    <m/>
    <x v="0"/>
    <n v="18128"/>
    <m/>
    <m/>
    <x v="3"/>
    <n v="2025"/>
  </r>
  <r>
    <d v="2025-07-16T00:00:00"/>
    <x v="3"/>
    <s v="MTTO PREVENTIVO"/>
    <n v="4"/>
    <s v="SE REALIZA MTTO PREVENTIVO"/>
    <s v="01 ACEITE DE MOTOR, 02 FILTRO DE AIRE, 01 FILTRO DE MOTOR, 01 LUB DE CADENAS, 01 LIMP MULTIPROPOSITO, 01 GRASA HHS 500, 01 GRASA, 01  ESTOPA"/>
    <m/>
    <x v="0"/>
    <n v="18219"/>
    <m/>
    <s v="M1 (250)"/>
    <x v="3"/>
    <n v="2025"/>
  </r>
  <r>
    <d v="2025-07-16T00:00:00"/>
    <x v="1"/>
    <s v="MTTO PREVENTIVO"/>
    <n v="4"/>
    <s v="SE REALIZA MTTO PREVENTIVO"/>
    <s v="01 ACEITE DE MOTOR, 02 FILTRO DE AIRE, 01 FILTRO DE MOTOR, 01 LUB DE CADENAS, 01 LIMP MULTIPROPOSITO, 01 GRASA HHS 500, 01 GRASA, 01  ESTOPA"/>
    <m/>
    <x v="0"/>
    <n v="44662"/>
    <m/>
    <s v="M1 (250)"/>
    <x v="3"/>
    <n v="2025"/>
  </r>
  <r>
    <d v="2025-07-17T00:00:00"/>
    <x v="1"/>
    <s v="FRENOS"/>
    <n v="6"/>
    <s v="NOVEDAD EN EL FRENO DE PARQUEO, SE REALIZA CAMBIO DE LA GUAYA DEL DESBLOQUEO DEL FRENO"/>
    <s v="01 GUAYA FRENO"/>
    <m/>
    <x v="1"/>
    <n v="44674"/>
    <n v="120000"/>
    <m/>
    <x v="3"/>
    <n v="2025"/>
  </r>
  <r>
    <d v="2025-07-18T00:00:00"/>
    <x v="2"/>
    <s v="DIRECCION"/>
    <n v="18"/>
    <s v="NOVEDAD EN EL RIN Y RODAMENTO DE LOS EJES SPLINDER DE SISTEMA DE DIRECCION, SE REALIZA CAMBIO DE LOS RINES Y REPARACION Y AJUSTE DEL PUENTE DE DIRRECCION "/>
    <s v="02 RIN RUEDAS TRASERAS, 02 KIT KING PINK, 02 EJES SPLINDER, 02 BIELAS LOWER, 02 BIELAS UPPER, 04 PASADORES BIELAS, 04 BUJES, 08 ARANDELAS DE RETENCION"/>
    <s v="COT No. 250741"/>
    <x v="0"/>
    <n v="43719"/>
    <n v="3596000"/>
    <m/>
    <x v="3"/>
    <n v="2025"/>
  </r>
  <r>
    <d v="2025-07-18T00:00:00"/>
    <x v="2"/>
    <s v="DIRECCION"/>
    <n v="2"/>
    <s v="FUGA DE ACEITE POR CILINDRO DE DIRECCION"/>
    <s v="01 KIT EMPAQUETADURA, 01 CROMO DE BARRA "/>
    <s v="P/TE COTIZACION"/>
    <x v="0"/>
    <n v="43719"/>
    <n v="1200000"/>
    <m/>
    <x v="3"/>
    <n v="2025"/>
  </r>
  <r>
    <d v="2025-07-19T00:00:00"/>
    <x v="4"/>
    <s v="MASTIL"/>
    <n v="2"/>
    <s v="NOVEDAD EN EL SOPORTE DESLIZADORES DEL SISTEMA SIDE SHIFT, RECTIFICACION ROSCAS TORNILLOS DE SUJECION DEL SOPORTE"/>
    <m/>
    <m/>
    <x v="0"/>
    <n v="37319"/>
    <m/>
    <m/>
    <x v="3"/>
    <n v="2025"/>
  </r>
  <r>
    <d v="2025-07-23T00:00:00"/>
    <x v="9"/>
    <s v="REFRIGERACION"/>
    <n v="12"/>
    <s v="POLEA DE LA BOMBA DE AGUA FRACTURADA, SE REALIZA REPARACION (EN TRAMITE LA GARANTIA)"/>
    <m/>
    <s v="GARANTÍA"/>
    <x v="0"/>
    <n v="58543"/>
    <m/>
    <m/>
    <x v="3"/>
    <n v="2025"/>
  </r>
  <r>
    <d v="2025-07-23T00:00:00"/>
    <x v="3"/>
    <s v="FRENOS"/>
    <n v="20"/>
    <s v="REPONTAN EQUIPO SIN FRENOS, SE REALIZA REPARACIION DEL SISTEMA DE FRENIOS, CAMBIO DE BANDAS Y RETENEDORES"/>
    <s v="04  BANDAS FRENO, 02 RETENEDORES CAMPANAS"/>
    <m/>
    <x v="0"/>
    <n v="18372"/>
    <n v="915000"/>
    <m/>
    <x v="3"/>
    <n v="2025"/>
  </r>
  <r>
    <d v="2025-07-24T00:00:00"/>
    <x v="2"/>
    <s v="DIRECCION"/>
    <n v="1"/>
    <s v="REPORTAN PERNOS SUELTOS, SE REALIZA AJUSTE DE LAS TUERCAS DE LAS RUEDAS TRASERAS"/>
    <m/>
    <m/>
    <x v="0"/>
    <n v="43765"/>
    <m/>
    <m/>
    <x v="3"/>
    <n v="2025"/>
  </r>
  <r>
    <d v="2025-07-25T00:00:00"/>
    <x v="1"/>
    <s v="POTENCIA"/>
    <n v="16"/>
    <s v="FALLA AL ACCIONAR EL ACELERADOR, SE REALIZA CAMBIO DE LA VARILLA DEL PEDAL ACELERADOR. "/>
    <s v="01 VARILLA PEDAL ACELERADOR "/>
    <m/>
    <x v="1"/>
    <n v="44781"/>
    <n v="118000"/>
    <m/>
    <x v="3"/>
    <n v="2025"/>
  </r>
  <r>
    <d v="2025-07-26T00:00:00"/>
    <x v="0"/>
    <s v="COMBUSTIBLE"/>
    <n v="2"/>
    <s v="REPORTAN FALLA EN EL EQUIPO, SE REALIZA PURGA DE SISTEMA DE REFRIGERACION, SE ARMA ASEGURANDO SU CORRECTO FUNCIONAMIENTO . "/>
    <m/>
    <m/>
    <x v="0"/>
    <n v="6408"/>
    <m/>
    <m/>
    <x v="3"/>
    <n v="2025"/>
  </r>
  <r>
    <d v="2025-07-28T00:00:00"/>
    <x v="0"/>
    <s v="COMBUSTIBLE"/>
    <n v="1"/>
    <s v="REPORTAN QUE SE APAGA DE FORMAN CONTINUA, SE ANULA UNION DE MANGUERAS DEL LPG. "/>
    <m/>
    <m/>
    <x v="0"/>
    <n v="6409"/>
    <m/>
    <m/>
    <x v="3"/>
    <n v="2025"/>
  </r>
  <r>
    <d v="2025-07-26T00:00:00"/>
    <x v="1"/>
    <s v="TRACCION"/>
    <n v="94"/>
    <s v="EL EQUIPO FUERA DE SERVICIO POR TORNILLO DEL HOUSING ROTO. SE  DESMONTA SISTEMA DE TRACCIÓN PARA EVALUACIÓN EL EQUIPO TORNO POR AVERÍA REPETITIVA"/>
    <s v="01 TORNILLO, 02 ACEITE 80W90 X1GAL"/>
    <s v="COT No. 259827"/>
    <x v="1"/>
    <n v="44846"/>
    <n v="3200000"/>
    <m/>
    <x v="3"/>
    <n v="2025"/>
  </r>
  <r>
    <d v="2025-08-02T00:00:00"/>
    <x v="4"/>
    <s v="MTTO PREVENTIVO"/>
    <n v="4"/>
    <s v="SE REALIZA MTTO PREVENTIVO"/>
    <s v="01 ACEITE DE MOTOR, 02 FILTRO DE AIRE, 01 FILTRO DE MOTOR, 01 LUB DE CADENAS, 01 LIMP MULTIPROPOSITO, 01 GRASA HHS 500, 01 GRASA, 01  ESTOPA"/>
    <m/>
    <x v="0"/>
    <n v="37477"/>
    <m/>
    <s v="M1 (250)"/>
    <x v="4"/>
    <n v="2025"/>
  </r>
  <r>
    <d v="2025-07-06T00:00:00"/>
    <x v="6"/>
    <s v="MTTO PREVENTIVO"/>
    <n v="4"/>
    <s v="SE REALIZA MTTO PREVENTIVO"/>
    <s v="01 LIMP MULTIPRÓSITO, 01 GRASA HHS 500, 01 LUB DE CADENAS, 01 GRASA, 04 AGUA  DE BATERÍAS"/>
    <m/>
    <x v="0"/>
    <n v="7542"/>
    <m/>
    <m/>
    <x v="3"/>
    <n v="2025"/>
  </r>
  <r>
    <d v="2025-08-06T00:00:00"/>
    <x v="6"/>
    <s v="MTTO PREVENTIVO"/>
    <n v="4"/>
    <s v="SE REALIZA MTTO PREVENTIVO"/>
    <s v="01 ACEITE DE MOTOR, 02 FILTRO DE AIRE, 01 FILTRO DE MOTOR, 01 LUB DE CADENAS, 01 LIMP MULTIPROPOSITO, 01 GRASA HHS 500, 01 GRASA, 01  ESTOPA"/>
    <m/>
    <x v="0"/>
    <n v="7500"/>
    <m/>
    <s v="M1 (250)"/>
    <x v="4"/>
    <n v="2025"/>
  </r>
  <r>
    <d v="2025-08-07T00:00:00"/>
    <x v="7"/>
    <s v="MTTO PREVENTIVO"/>
    <n v="4"/>
    <s v="SE REALIZA MTTO PREVENTIVO"/>
    <s v="01 ACEITE DE MOTOR, 02 FILTRO DE AIRE, 01 FILTRO DE MOTOR, 01 LUB DE CADENAS, 01 LIMP MULTIPROPOSITO, 01 GRASA HHS 500, 01 GRASA, 01  ESTOPA"/>
    <m/>
    <x v="0"/>
    <n v="14029"/>
    <m/>
    <s v="M1 (250)"/>
    <x v="4"/>
    <n v="2025"/>
  </r>
  <r>
    <d v="2025-08-07T00:00:00"/>
    <x v="2"/>
    <s v="MTTO PREVENTIVO"/>
    <n v="4"/>
    <s v="SE REALIZA MTTO PREVENTIVO"/>
    <s v="01 ACEITE DE MOTOR, 02 FILTRO DE AIRE, 01 FILTRO DE MOTOR, 01 LUB DE CADENAS, 01 LIMP MULTIPROPOSITO, 01 GRASA HHS 500, 01 GRASA, 01  ESTOPA"/>
    <m/>
    <x v="0"/>
    <n v="43889"/>
    <m/>
    <s v="M1 (250)"/>
    <x v="4"/>
    <n v="2025"/>
  </r>
  <r>
    <d v="2025-08-07T00:00:00"/>
    <x v="5"/>
    <s v="MTTO PREVENTIVO"/>
    <n v="4"/>
    <s v="SE REALIZA MTTO PREVENTIVO"/>
    <s v="01 LIMP MULTIPRÓSITO, 01 GRASA HHS 500, 01 LUB DE CADENAS, 01 GRASA, 04 AGUA  DE BATERÍAS"/>
    <m/>
    <x v="0"/>
    <n v="15729"/>
    <m/>
    <s v="M1 (250)"/>
    <x v="4"/>
    <n v="2025"/>
  </r>
  <r>
    <d v="2025-08-07T00:00:00"/>
    <x v="9"/>
    <s v="MTTO PREVENTIVO"/>
    <n v="4"/>
    <s v="SE REALIZA MTTO PREVENTIVO"/>
    <s v="01 ACEITE DE MOTOR, 02 FILTRO DE AIRE, 01 FILTRO DE MOTOR, 01 LUB DE CADENAS, 01 LIMP MULTIPROPOSITO, 01 GRASA HHS 500, 01 GRASA, 01  ESTOPA"/>
    <m/>
    <x v="0"/>
    <n v="58583"/>
    <m/>
    <s v="M1 (250)"/>
    <x v="4"/>
    <n v="2025"/>
  </r>
  <r>
    <d v="2025-08-09T00:00:00"/>
    <x v="1"/>
    <s v="TRACCION"/>
    <n v="143"/>
    <s v="EQUIPO FUERA DE SERVICIO, RUPTURA DE TORNILLO DEL HOUSING, EN REPARACIÓN Y RECONSTRUCCION EN EL TALLER DE TECHNICAL SERVICE, REPARACIÓN Y AJUSTE DEL SISTEMAE DIRECCION, RECONSTRUCCION Y MECANIZADO DE LOS RODAMIENTOS DEL SPLINDER"/>
    <s v="RECONSTRUCCION Y MECANIZADO DE ALOJAMIENTO DEL TORNILLO Y BASES DEL HOUSING, EXTRACCION DEL TORNILLO ROTO, 02 ACEITE 80W-90, 01 TORNILLO, 02 KING PINK, 02 SPLINDER, 04 BIJES COLLAR, 04 PASADORES, 02 BIELAS UPPER, 02 BIELAS LOWER, 08 GUARDAPOLVO, 02 TAPAS SPLINDER, 01 CAUCHO SOPORTE, 02 BUJES PIVOTE, 12 GRASERAS"/>
    <s v="COT No. 259827"/>
    <x v="1"/>
    <n v="43719"/>
    <n v="3200000"/>
    <m/>
    <x v="4"/>
    <n v="2025"/>
  </r>
  <r>
    <d v="2025-08-18T00:00:00"/>
    <x v="3"/>
    <s v="MTTO PREVENTIVO"/>
    <n v="4"/>
    <s v="SE REALIZA MTTO PREVENTIVO"/>
    <s v="01 ACEITE DE MOTOR, 02 FILTRO DE AIRE, 01 FILTRO DE MOTOR, 01 LUB DE CADENAS, 01 LIMP MULTIPROPOSITO, 01 GRASA HHS 500, 01 GRASA, 01  ESTOPA, 02 ACEITE HD ISO 68X5/GAL, 01 FILTRO HD, 08 ACEITE ATF DEXRON X1/4, 01 FILTRO TRANSM ATM, 01 EMPAQ SISTEMA LPG, 02 VALVULA LPG, 01 FILTRO LPG, 04 BUJIAS, 01 KIT SINCRONIZACION, 01 CORREA ALT, 02 RET CAMPANAS INT, 02 RET CAMPANAS EXT, 01 REFRIG X1/GAL."/>
    <m/>
    <x v="0"/>
    <n v="18694"/>
    <m/>
    <s v="M2 (1000)"/>
    <x v="4"/>
    <n v="2025"/>
  </r>
  <r>
    <d v="2025-08-18T00:00:00"/>
    <x v="3"/>
    <s v="DIRECCION"/>
    <n v="2"/>
    <s v="SE REALIZA AJUSTE EN EL SISTEMA DE DIRECCION"/>
    <s v="02 BIELAS UPPER, 02 BIELA LOWER, 04 PASADORES BIELAS, 04 BUJES CP, 08 ARANDELAS CK, 04 ACOPLE GRASERAS"/>
    <s v="COT No. 250866"/>
    <x v="1"/>
    <n v="18694"/>
    <n v="1300000"/>
    <m/>
    <x v="4"/>
    <n v="2025"/>
  </r>
  <r>
    <d v="2025-08-22T00:00:00"/>
    <x v="0"/>
    <s v="MTTO PREVENTIVO"/>
    <n v="4"/>
    <s v="SE REALIZA MTTO PREVENTIVO"/>
    <s v="01 ACEITE DE MOTOR, 02 FILTRO DE AIRE, 01 FILTRO DE MOTOR, 01 LUB DE CADENAS, 01 LIMP MULTIPROPOSITO, 01 GRASA HHS 500, 01 GRASA, 01  ESTOPA"/>
    <m/>
    <x v="0"/>
    <n v="6457"/>
    <m/>
    <s v="M1 (250)"/>
    <x v="4"/>
    <n v="2025"/>
  </r>
  <r>
    <d v="2025-08-22T00:00:00"/>
    <x v="0"/>
    <s v="DIRECCION"/>
    <n v="2"/>
    <s v="SE REALIZA AJUSTE EN EL SISTEMA DE DIRECCION"/>
    <s v="02 RODILLOS DE AGUJAS, 01 SPLINDER, 01 RODAMIENTO AXIAL, 04 SHIM AJUSTE"/>
    <s v="COT No. 250862"/>
    <x v="1"/>
    <n v="6457"/>
    <n v="571250"/>
    <m/>
    <x v="4"/>
    <n v="2025"/>
  </r>
  <r>
    <d v="2025-08-22T00:00:00"/>
    <x v="5"/>
    <s v="TRACCION"/>
    <n v="24"/>
    <s v="REPORTAN RUIDO EN RUEDA IZQUIERDA, SE DESMONTA ENCONTRANDO RIN ROTO, SE PROCEDE A REPARACION."/>
    <s v="SERVICIO DE SOLDADURA"/>
    <s v="COT No. 250863"/>
    <x v="1"/>
    <n v="15888"/>
    <n v="450000"/>
    <m/>
    <x v="4"/>
    <n v="2025"/>
  </r>
  <r>
    <d v="2025-08-25T00:00:00"/>
    <x v="6"/>
    <s v="ELECTRONICO"/>
    <n v="1"/>
    <s v="REPORTAN CODIGO DE ERROR H2-4,  SE REALIZA LIMPIEZA Y VERIFICACION DEL CABLEADO DEL SENSOR"/>
    <m/>
    <s v="COT No. 250945"/>
    <x v="1"/>
    <n v="7651"/>
    <n v="953000"/>
    <m/>
    <x v="4"/>
    <n v="2025"/>
  </r>
  <r>
    <d v="2025-08-26T00:00:00"/>
    <x v="6"/>
    <s v="ELECTRONICO"/>
    <n v="4"/>
    <s v="REPORTAN CODIGO DE ERROR H2-4, SE REALIZA AJUSTE Y CALIBRACION DE PARAMETROS DEL SENSOR DE ANGULO DE INCLINACION(SE SOLICITA SENSOR POR IMPORTACION"/>
    <m/>
    <s v="COT No. 250945"/>
    <x v="1"/>
    <n v="7651"/>
    <n v="953000"/>
    <m/>
    <x v="4"/>
    <n v="2025"/>
  </r>
  <r>
    <d v="2025-08-29T00:00:00"/>
    <x v="1"/>
    <s v="MTTO PREVENTIVO"/>
    <n v="4"/>
    <s v="SE REALIZA MTTO PREVENTIVO"/>
    <s v="01 ACEITE DE MOTOR, 02 FILTRO DE AIRE, 01 FILTRO DE MOTOR, 01 LUB DE CADENAS, 01 LIMP MULTIPROPOSITO, 01 GRASA HHS 500, 01 GRASA, 01  ESTOPA"/>
    <m/>
    <x v="0"/>
    <n v="45028"/>
    <m/>
    <s v="M1 (250)"/>
    <x v="4"/>
    <n v="2025"/>
  </r>
  <r>
    <d v="2025-09-06T00:00:00"/>
    <x v="5"/>
    <s v="POTENCIA"/>
    <n v="1"/>
    <s v="REPORTAN QUE EL EQUIPO NO ENCIENDE, SE REALIZA REVISIÓN DE LA BATERIA, MEDICIÓN DE LA TENSIÓN ENCONTRANDO POSTE Y PUENTE DE UNA CELDA ROTO, SE REALIZA CAMBIO DE BATERÍA DEJANDOLO OPERATIVO"/>
    <s v="01 PUENTE BATERIA"/>
    <s v="COT No. 250946"/>
    <x v="1"/>
    <n v="15958"/>
    <n v="1108000"/>
    <m/>
    <x v="5"/>
    <n v="2025"/>
  </r>
  <r>
    <d v="2025-09-06T00:00:00"/>
    <x v="6"/>
    <s v="MTTO PREVENTIVO"/>
    <n v="4"/>
    <s v="SE REALIZA MTTO PREVENTIVO"/>
    <s v="01 LIMP MULTIPRÓSITO, 01 GRASA HHS 500, 01 LUB DE CADENAS, 01 GRASA, 04 AGUA  DE BATERÍAS"/>
    <m/>
    <x v="0"/>
    <n v="7754"/>
    <m/>
    <s v="M1 (250)"/>
    <x v="5"/>
    <n v="2025"/>
  </r>
  <r>
    <d v="2025-09-06T00:00:00"/>
    <x v="2"/>
    <s v="MTTO PREVENTIVO"/>
    <n v="16"/>
    <s v="SE REALIZA MTTO PREVENTIVO"/>
    <s v="01 ACEITE DE MOTOR, 02 FILTRO DE AIRE, 01 FILTRO DE MOTOR, 01 LUB DE CADENAS, 01 LIMP MULTIPROPOSITO, 01 GRASA HHS 500, 01 GRASA, 01  ESTOPA, 02 ACEITE HD ISO 68X5/GAL, 01 FILTRO HD, 08 ACEITE ATF DEXRON X1/4, 01 FILTRO TRANSM ATM, 01 EMPAQ SISTEMA LPG, 02 VALVULA LPG, 01 FILTRO LPG, 04 BUJIAS, 01 KIT SINCRONIZACION, 01 CORREA ALT, 02 RET CAMPANAS INT, 02 RET CAMPANAS EXT, 01 REFRIG X1/GAL."/>
    <m/>
    <x v="0"/>
    <n v="44143"/>
    <m/>
    <s v="M2 (1000)"/>
    <x v="5"/>
    <n v="2025"/>
  </r>
  <r>
    <d v="2025-09-09T00:00:00"/>
    <x v="7"/>
    <s v="DIRECCION"/>
    <n v="21"/>
    <s v="REPORTANTAN EQUIPO FUERA DE SERVICIO POR TERMINAL DE LA DIRECCIÓN ROTA, SE REALIZA REVISIÓN DEL SISTEMA DE DIRECCIÓN REPARACIÓN Y CAMBIO DE COMPONENTES"/>
    <s v="03 TERMINALES LH, 03 TERMINALES RH, 02 KING PINK, 02 SPLINDER, 01 KING PINK BELCRAM, 01 SPLINDER BELCRAM, 04 SHIN AJUSTE CACHOS, 02 BUJES PIVOTE, SHIM AJUSTE TANDEM, 12 PERNOS BOCIM, 12 TUERCAS PERNOS, 12 TUERCAS, 04 GRASERAS, 02 ARANDELAS AJUSTE TANDEM"/>
    <s v="COT No. 250950"/>
    <x v="1"/>
    <n v="14292"/>
    <n v="4318170"/>
    <m/>
    <x v="5"/>
    <n v="2025"/>
  </r>
  <r>
    <d v="2025-09-10T00:00:00"/>
    <x v="4"/>
    <s v="MTTO PREVENTIVO"/>
    <n v="16"/>
    <s v="SE REALIZA MTTO PREVENTIVO"/>
    <s v="01 ACEITE DE MOTOR, 02 FILTRO DE AIRE, 01 FILTRO DE MOTOR, 01 LUB DE CADENAS, 01 LIMP MULTIPROPOSITO, 01 GRASA HHS 500, 01 GRASA, 01  ESTOPA, 02 ACEITE HD ISO 68X5/GAL, 01 FILTRO HD, 08 ACEITE ATF DEXRON X1/4, 01 FILTRO TRANSM ATM, 01 EMPAQ SISTEMA LPG, 02 VALVULA LPG, 01 FILTRO LPG, 04 BUJIAS, 01 KIT SINCRONIZACION, 01 CORREA ALT, 02 RET CAMPANAS INT, 02 RET CAMPANAS EXT, 01 REFRIG X1/GAL."/>
    <m/>
    <x v="0"/>
    <n v="37727"/>
    <m/>
    <s v="M2 (1000)"/>
    <x v="5"/>
    <n v="2025"/>
  </r>
  <r>
    <d v="2025-09-11T00:00:00"/>
    <x v="4"/>
    <s v="REP. PLANIFICADO"/>
    <n v="8"/>
    <s v="SE REALIZA AJUSTE DEL SISTEMA DE DIRECCION, MTTO Y REPARACION DEL SISTEMA LPG, REPARACION SISTEMA DE FRENO, SINCRONIZACION DEL MOTOR"/>
    <s v="02 KIT KING PINK, 02 SPLINDER, 02 BIUELAS UPPER, 02 BIELAS LOWER, 04 BUJES, 08 ARANDELAS, 04 PASADORES, 02 BUJES PIVOTE, 04 GRASERAS, 12 PERNOS, 12 TUERCAS, 02 ARANDELAS AJUSTE CACHOS, 02 ARANDELAS AJUSTE TANDEM,02 CILINDRO RUEDA, 01 GUAYA PEDAL ACERCAMIENTO, 04 BANDAS FRENO, 04 DESLIZADORES UPPER SIDESHIFT, 02 DESLIZADORES LOWER,"/>
    <s v="COT No. 250951"/>
    <x v="1"/>
    <n v="37720"/>
    <n v="4212867"/>
    <m/>
    <x v="5"/>
    <n v="2025"/>
  </r>
  <r>
    <d v="2025-09-12T00:00:00"/>
    <x v="7"/>
    <s v="MTTO PREVENTIVO"/>
    <n v="16"/>
    <s v="SE REALIZA MTTO PREVENTIVO"/>
    <s v="01 ACEITE DE MOTOR, 02 FILTRO DE AIRE, 01 FILTRO DE MOTOR, 01 LUB DE CADENAS, 01 LIMP MULTIPROPOSITO, 01 GRASA HHS 500, 01 GRASA, 01  ESTOPA, 02 ACEITE HD ISO 68X5/GAL, 01 FILTRO HD, 08 ACEITE ATF DEXRON X1/4, 01 FILTRO TRANSM ATM, 01 EMPAQ SISTEMA LPG, 02 VALVULA LPG, 01 FILTRO LPG, 04 BUJIAS, 01 KIT SINCRONIZACION, 01 CORREA ALT, 02 RET CAMPANAS INT, 02 RET CAMPANAS EXT, 01 REFRIG X1/GAL."/>
    <m/>
    <x v="0"/>
    <n v="14279"/>
    <m/>
    <s v="M2 (1000)"/>
    <x v="5"/>
    <n v="2025"/>
  </r>
  <r>
    <d v="2025-09-12T00:00:00"/>
    <x v="7"/>
    <s v="REP. PLANIFICADO"/>
    <n v="8"/>
    <s v="SE REALIZA REPARACION DEL SISTEMA DE FRENOS, REPARACION DEL SISTEMA DE LUCES, CAMBIO GUAYA ACELERADOR"/>
    <s v="02 GUAYA DE FRENO LH - RH, 04 BANDAS FRENO, 02 STOP COMPLETO, 01 LUZ ESTROBER, 01 GUAYA ACELERADOR"/>
    <s v="COT No. 250950"/>
    <x v="1"/>
    <n v="14308"/>
    <n v="4318170"/>
    <m/>
    <x v="5"/>
    <n v="2025"/>
  </r>
  <r>
    <d v="2025-09-13T00:00:00"/>
    <x v="4"/>
    <s v="POTENCIA"/>
    <n v="2"/>
    <s v="REPORTAN QUE NO TIENE FUERZA PARA LA ELEVACION, SE REALIZA REVSION ENCONTRANDO CABLE DE LA BUJÍA SUELTO DEL CILINDRO No. 02 DEL MOTOR SE REALIZA CORRECCION DEJANDO EL EQUIPO OPERATIVO."/>
    <m/>
    <m/>
    <x v="0"/>
    <n v="37813"/>
    <m/>
    <m/>
    <x v="5"/>
    <n v="2025"/>
  </r>
  <r>
    <d v="2025-09-13T00:00:00"/>
    <x v="3"/>
    <s v="MTTO PREVENTIVO"/>
    <n v="4"/>
    <s v="SE REALIZA MTTO PREVENTIVO"/>
    <s v="01 ACEITE DE MOTOR, 02 FILTRO DE AIRE, 01 FILTRO DE MOTOR, 01 LUB DE CADENAS, 01 LIMP MULTIPROPOSITO, 01 GRASA HHS 500, 01 GRASA, 01  ESTOPA"/>
    <m/>
    <x v="0"/>
    <n v="19078"/>
    <m/>
    <s v="M1 (250)"/>
    <x v="5"/>
    <n v="2025"/>
  </r>
  <r>
    <d v="2025-09-14T00:00:00"/>
    <x v="5"/>
    <s v="MTTO PREVENTIVO"/>
    <n v="4"/>
    <s v="SE REALIZA MTTO PREVENTIVO"/>
    <s v="01 LIMP MULTIPRÓSITO, 01 GRASA HHS 500, 01 LUB DE CADENAS, 01 GRASA, 04 AGUA  DE BATERÍAS"/>
    <m/>
    <x v="0"/>
    <n v="16019"/>
    <m/>
    <s v="M1 (250)"/>
    <x v="5"/>
    <n v="2025"/>
  </r>
  <r>
    <d v="2025-09-17T00:00:00"/>
    <x v="4"/>
    <s v="SIST. HIDRAULICO"/>
    <n v="3"/>
    <s v="REPORTAN EQUIPO SIN FUERZA EN EL HIDRAULICO, SE REALIZA REVISION Y DIAGNOSTICO A LA BOMBA, SE REALIZA MONTAJE DE UNA EN CALIDAD DE PRESTAMO"/>
    <s v="01 BOMBA HD"/>
    <s v="COT No. 250942"/>
    <x v="1"/>
    <n v="37829"/>
    <n v="1470000"/>
    <m/>
    <x v="5"/>
    <n v="2025"/>
  </r>
  <r>
    <d v="2025-09-19T00:00:00"/>
    <x v="1"/>
    <s v="MASTIL"/>
    <n v="3"/>
    <s v="REPORTAN EL EQUIPO FUERA DE SERVICIO POR CAIDA DEL SOPORTE DE CADENAS Y MANGUERA, SE REALIZA EXTRACCION DEL TORNILLO ROTO, INSTALACION DE SOPORTE Y CABEZAL DEL CILINDRO CENTRAL DEL MASTIL"/>
    <s v="01 TORNILLO M10X1.5 70MM"/>
    <m/>
    <x v="0"/>
    <n v="45103"/>
    <m/>
    <m/>
    <x v="5"/>
    <n v="2025"/>
  </r>
  <r>
    <d v="2025-09-19T00:00:00"/>
    <x v="3"/>
    <s v="POTENCIA"/>
    <n v="3"/>
    <s v="REPORTAN QUE EL EQUIPO NO ENCIENDE, SE REALIZA CAMBIO DE LOS SENSORES DEL CIGÜEÑAL Y ARBOL DE LEVAS, CAMBIO DE LA EMPAQUETADURA DEL REGULADOR DEL SISTEMA DEL GAS LPG, POR GARANTÍA."/>
    <s v="01 SENSOR CKP, 01  SENSOR CPM"/>
    <s v="COT No. 250952"/>
    <x v="1"/>
    <n v="19144"/>
    <n v="1834700"/>
    <m/>
    <x v="5"/>
    <n v="2025"/>
  </r>
  <r>
    <d v="2025-09-19T00:00:00"/>
    <x v="4"/>
    <s v="POTENCIA"/>
    <n v="1"/>
    <s v="REPORTAN EQUIPO CON FALTAN DE FUERZA, SE REALIZA AJUSTE EN EL DISTRIBUIDOR DE CORRIENTE PARA ADELANTAR LA CHISPA Y MENJORAR EL RENDIMIENTO DEL MOTOR."/>
    <m/>
    <m/>
    <x v="0"/>
    <n v="37840"/>
    <m/>
    <m/>
    <x v="5"/>
    <n v="2025"/>
  </r>
  <r>
    <d v="2025-09-22T00:00:00"/>
    <x v="9"/>
    <s v="COMBUSTIBLE"/>
    <n v="24"/>
    <s v="REPORTAN EQUIPO FUERA DE SERVICIO POR PASO DE GAS, SE REALIZA CAMBIO DE EMPAQUES AL SISTEMA LPG Y ROTOR AL DISTRIBUIDOR DE CORRIENTE"/>
    <s v="01 KIT EMPAQUES SISTEMA LPG, 01  ROTOR DE CORRIENTE"/>
    <s v="COT No. 251015"/>
    <x v="1"/>
    <n v="58731"/>
    <n v="1002100"/>
    <m/>
    <x v="5"/>
    <n v="2025"/>
  </r>
  <r>
    <d v="2025-09-22T00:00:00"/>
    <x v="7"/>
    <s v="FRENOS"/>
    <n v="2"/>
    <s v="REPORTAN FRENO DE PARQUEO FUERA DE SERVICIO, SE INSTALA GAYA SUELTA"/>
    <m/>
    <m/>
    <x v="0"/>
    <n v="14393"/>
    <m/>
    <m/>
    <x v="5"/>
    <n v="2025"/>
  </r>
  <r>
    <d v="2025-09-24T00:00:00"/>
    <x v="3"/>
    <s v="REFRIGERACION"/>
    <n v="2"/>
    <s v="SE EVIDENCIA FALLA EN MANGUERA SUPERIOR RADIADOR SE REALIZA CAMBIO, SE NIVELA REFRIGERNTE"/>
    <s v="01 MANGUERA SUPERIOR RADIADOR 01 GALON REFRIGERANTE "/>
    <s v="COT No. 251047"/>
    <x v="1"/>
    <n v="19226"/>
    <n v="290700"/>
    <m/>
    <x v="5"/>
    <n v="2025"/>
  </r>
  <r>
    <d v="2025-09-25T00:00:00"/>
    <x v="6"/>
    <s v="REP. PLANIFICADO"/>
    <n v="1"/>
    <s v="INSTALACIÓN SENSOR DE INCLINACIÓN "/>
    <s v="SENSOR DE INCLINACIÓN"/>
    <s v="COT No. 250945"/>
    <x v="1"/>
    <n v="7901"/>
    <n v="953800"/>
    <m/>
    <x v="5"/>
    <n v="2025"/>
  </r>
  <r>
    <d v="2025-09-26T00:00:00"/>
    <x v="4"/>
    <s v="DIRECCION"/>
    <n v="2"/>
    <s v="SE EVIDENCIA RIN DE RUEDA DIRECCIÓN AVERIADO, SE PROCEDE A RELIZAR CAMBIO  CON SUS RESPECTIVOS PERNOS DE BOCIM"/>
    <s v="12 PERNOS, 12 TUERCAS "/>
    <s v="COT No. 250951"/>
    <x v="1"/>
    <n v="36861"/>
    <n v="4212867"/>
    <m/>
    <x v="5"/>
    <n v="2025"/>
  </r>
  <r>
    <d v="2025-09-29T00:00:00"/>
    <x v="1"/>
    <s v="MTTO PREVENTIVO"/>
    <m/>
    <s v="SE REALIZA MTTO PREVENTIVO"/>
    <s v="01 ACEITE DE MOTOR, 02 FILTRO DE AIRE, 01 FILTRO DE MOTOR, 01 LUB DE CADENAS, 01 LIMP MULTIPROPOSITO, 01 GRASA HHS 500, 01 GRASA, 01  ESTOPA"/>
    <m/>
    <x v="0"/>
    <n v="45275"/>
    <m/>
    <s v="M1 (250)"/>
    <x v="5"/>
    <n v="2025"/>
  </r>
  <r>
    <d v="2025-09-29T00:00:00"/>
    <x v="1"/>
    <s v="REFRIGERACION"/>
    <n v="1"/>
    <s v="SE EVIDENCIA DAÑO EN MANGUERA SUPERIOR RADIADOR, SE RELIZA CAMBIO DE MANGUERA NIVELACIÓN DE REFRIGERANTE "/>
    <s v="01  MANGUERA SUPERIOR RADIADOR 01 GALON REFRIGERANTE "/>
    <s v="COT No. 251049"/>
    <x v="1"/>
    <n v="45275"/>
    <n v="247700"/>
    <m/>
    <x v="5"/>
    <n v="2025"/>
  </r>
  <r>
    <d v="2025-09-30T00:00:00"/>
    <x v="3"/>
    <s v="SEGURIDAD"/>
    <n v="4"/>
    <s v="INSTALACIÓN DE KIT VELOCIMETRO LUZ DE SEGIRIDAD DE ARACO "/>
    <s v="KIT VELOCIMETRO, LUZ DE SEGURIDAD DE ARCO "/>
    <s v="COT No. 250755"/>
    <x v="1"/>
    <n v="19324"/>
    <n v="3380000"/>
    <m/>
    <x v="5"/>
    <n v="2025"/>
  </r>
  <r>
    <d v="2025-09-30T00:00:00"/>
    <x v="3"/>
    <s v="MTTO PREVENTIVO"/>
    <n v="4"/>
    <s v="SE REALIZA MTTO PREVENTIVO"/>
    <s v="01 ACEITE DE MOTOR, 02 FILTRO DE AIRE, 01 FILTRO DE MOTOR, 01 LUB DE CADENAS, 01 LIMP MULTIPROPOSITO, 01 GRASA HHS 500, 01 GRASA, 01  ESTOPA"/>
    <m/>
    <x v="0"/>
    <n v="19324"/>
    <m/>
    <s v="M1 (250)"/>
    <x v="5"/>
    <n v="2025"/>
  </r>
  <r>
    <d v="2025-09-30T00:00:00"/>
    <x v="0"/>
    <s v="POTENCIA"/>
    <n v="4"/>
    <s v="CAMBIO CORREA DE REPARTICIÓN "/>
    <s v="CORREA DE REPARTICIÓN"/>
    <s v="COT No. 251048"/>
    <x v="1"/>
    <n v="6557"/>
    <n v="2375900"/>
    <m/>
    <x v="5"/>
    <n v="2025"/>
  </r>
  <r>
    <d v="2025-10-01T00:00:00"/>
    <x v="5"/>
    <s v="ELECTRONICO"/>
    <n v="1"/>
    <s v="NIVELACIÓN AGUA DE BATERIA "/>
    <m/>
    <m/>
    <x v="0"/>
    <n v="16176"/>
    <m/>
    <m/>
    <x v="6"/>
    <n v="2025"/>
  </r>
  <r>
    <d v="2025-10-03T00:00:00"/>
    <x v="1"/>
    <s v="SIST. HIDRAULICO"/>
    <n v="1"/>
    <s v="CAMBIO DE CILINDRO INCLINACIÓN"/>
    <s v="01 KIT EMPAQUETADURA CILINDRO INCLINACIÓN"/>
    <s v="COT No. 251050"/>
    <x v="1"/>
    <n v="45308"/>
    <n v="680000"/>
    <m/>
    <x v="6"/>
    <n v="2025"/>
  </r>
  <r>
    <d v="2025-10-04T00:00:00"/>
    <x v="1"/>
    <s v="DIRECCION"/>
    <n v="1"/>
    <s v="CAMBIO DE RODAMIENTO AXIAL DE PUENTE DE DIRRECCIÓN"/>
    <s v="01 RODAMIENTO AXIAL"/>
    <s v="COT No. 251051"/>
    <x v="1"/>
    <n v="45321"/>
    <n v="69300"/>
    <m/>
    <x v="6"/>
    <n v="2025"/>
  </r>
  <r>
    <d v="2025-10-06T00:00:00"/>
    <x v="7"/>
    <s v="MTTO PREVENTIVO"/>
    <n v="4"/>
    <s v="SE REALIZA MTTO PREVENTIVO"/>
    <s v="01 ACEITE DE MOTOR, 02 FILTRO DE AIRE, 01 FILTRO DE MOTOR, 01 LUB DE CADENAS, 01 LIMP MULTIPROPOSITO, 01 GRASA HHS 500, 01 GRASA, 01  ESTOPA"/>
    <m/>
    <x v="0"/>
    <n v="14514"/>
    <m/>
    <s v="M1 (250)"/>
    <x v="6"/>
    <n v="2025"/>
  </r>
  <r>
    <d v="2025-10-07T00:00:00"/>
    <x v="6"/>
    <s v="ELECTRONICO"/>
    <n v="1"/>
    <s v="REVISIÓN DE BATERIA "/>
    <m/>
    <m/>
    <x v="0"/>
    <n v="7967"/>
    <m/>
    <m/>
    <x v="6"/>
    <n v="2025"/>
  </r>
  <r>
    <d v="2025-10-08T00:00:00"/>
    <x v="1"/>
    <s v="SIST. HIDRAULICO"/>
    <n v="3"/>
    <s v="REVISIÓN DE FUGA CAMBIO DE MANGUERA HIDRULICA "/>
    <s v="MANGUERA HIDRAULICA "/>
    <s v="COT No. 251112"/>
    <x v="1"/>
    <n v="45357"/>
    <n v="184700"/>
    <m/>
    <x v="6"/>
    <n v="2025"/>
  </r>
  <r>
    <d v="2025-10-11T00:00:00"/>
    <x v="1"/>
    <s v="ELECTRONICO"/>
    <n v="1"/>
    <s v="FALLA EN SISTEMA ELECTRICO  FUSIBLES "/>
    <s v="FUSIBLES  10A"/>
    <m/>
    <x v="0"/>
    <n v="45391"/>
    <m/>
    <m/>
    <x v="6"/>
    <n v="2025"/>
  </r>
  <r>
    <d v="2025-10-14T00:00:00"/>
    <x v="5"/>
    <s v="MTTO PREVENTIVO"/>
    <n v="8"/>
    <s v="SE REALIZA MTTO PREVENTIVO"/>
    <s v=" LUB DE CADENAS, 01 LIMP MULTIPROPOSITO, 01 GRASA HHS 500, 01 GRASA, 01  ESTOPA, 02 ACEITE HD ISO 68X5/GAL, 01 FILTRO HD,   CAMPANAS EXT."/>
    <m/>
    <x v="0"/>
    <n v="16287"/>
    <m/>
    <s v="M2 (1000)"/>
    <x v="6"/>
    <n v="2025"/>
  </r>
  <r>
    <d v="2025-10-14T00:00:00"/>
    <x v="6"/>
    <s v="MTTO PREVENTIVO"/>
    <n v="8"/>
    <s v="SE REALIZA MTTO PREVENTIVO"/>
    <s v=" LUB DE CADENAS, 01 LIMP MULTIPROPOSITO, 01 GRASA HHS 500, 01 GRASA, 01  ESTOPA, 02 ACEITE HD ISO 68X5/GAL, 01 FILTRO HD,   CAMPANAS EXT."/>
    <m/>
    <x v="0"/>
    <n v="8020"/>
    <m/>
    <s v="M2 (1000)"/>
    <x v="6"/>
    <n v="2025"/>
  </r>
  <r>
    <d v="2025-10-15T00:00:00"/>
    <x v="2"/>
    <s v="REP. PLANIFICADO"/>
    <n v="1"/>
    <s v="SUMINISTRO Y CAMBIO SILLA OPERARIO"/>
    <s v="01 SILLA OPERARIO"/>
    <s v="COT No. 250937"/>
    <x v="1"/>
    <n v="44560"/>
    <n v="2538000"/>
    <m/>
    <x v="6"/>
    <n v="2025"/>
  </r>
  <r>
    <d v="2015-10-17T00:00:00"/>
    <x v="2"/>
    <s v="ELECTRONICO"/>
    <n v="1"/>
    <s v="REVISIÓN DE SISTEMA ELECTRICO CAMBIO DE FUSIBLE "/>
    <m/>
    <m/>
    <x v="0"/>
    <n v="44576"/>
    <m/>
    <m/>
    <x v="6"/>
    <n v="2015"/>
  </r>
  <r>
    <d v="2025-10-20T00:00:00"/>
    <x v="4"/>
    <s v="MTTO PREVENTIVO"/>
    <n v="4"/>
    <s v="SE REALIZA MTTO PREVENTIVO"/>
    <s v="01 ACEITE DE MOTOR, 02 FILTRO DE AIRE, 01 FILTRO DE MOTOR, 01 LUB DE CADENAS, 01 LIMP MULTIPROPOSITO, 01 GRASA HHS 500, 01 GRASA, 01  ESTOPA"/>
    <m/>
    <x v="0"/>
    <n v="37935"/>
    <m/>
    <s v="M1 (250)"/>
    <x v="6"/>
    <n v="2025"/>
  </r>
  <r>
    <d v="2025-10-20T00:00:00"/>
    <x v="4"/>
    <s v="SIST. HIDRAULICO"/>
    <n v="8"/>
    <s v="DETECCIÓN DE FUGA EN SISTEMA HIDRULICO DESMONTAJE DE CILINDRO INCLINACIÓN REPARACIÓN Y MONTAJE "/>
    <s v="01 KIT EMPAQUETADURA CILINDRO INCLINACIÓN"/>
    <s v="COT No. 251106"/>
    <x v="1"/>
    <n v="37935"/>
    <n v="935000"/>
    <m/>
    <x v="6"/>
    <n v="2025"/>
  </r>
  <r>
    <d v="2025-10-21T00:00:00"/>
    <x v="4"/>
    <s v="COMBUSTIBLE"/>
    <n v="8"/>
    <s v="DETECCIÓN DE FALLA EN SISTEMA DE COMBUSTIBLE SE ENCUENTRA FALLA EN VAPORIZADOR Y FILTRO DEBIDO A CONTAMINACIÓN POR IMPUREZAS EN EL COMBUSTIBLE, CAMBIO DE EMPAQUETADURAS "/>
    <s v="KIT DE EMPAQUETADURAS RACORES PEGANTES "/>
    <s v="COT No. 251105"/>
    <x v="1"/>
    <n v="37935"/>
    <n v="1626000"/>
    <m/>
    <x v="6"/>
    <n v="2025"/>
  </r>
  <r>
    <d v="2025-10-22T00:00:00"/>
    <x v="3"/>
    <s v="REP. PLANIFICADO"/>
    <n v="4"/>
    <s v="SUMINISTRO E INSTALACIÓN DE RUEDAS DE DIRECCIÓN Y DELANTERAS AJUSTE ASEGURANDO SU CORRECTO FUNCIONAMIENTO"/>
    <s v="RUEDAS DELANTERAS, RUEDAS DE DIRECCIÓN SERVICIO DE PRENSA HIDRAULICA"/>
    <s v="COT No. 250876"/>
    <x v="1"/>
    <n v="19651"/>
    <n v="8006174"/>
    <m/>
    <x v="6"/>
    <n v="2025"/>
  </r>
  <r>
    <d v="2025-10-22T00:00:00"/>
    <x v="3"/>
    <s v="MTTO PREVENTIVO"/>
    <m/>
    <s v="SE REALIZA MTTO PREVENTIVO"/>
    <s v="01 ACEITE DE MOTOR, 02 FILTRO DE AIRE, 01 FILTRO DE MOTOR, 01 LUB DE CADENAS, 01 LIMP MULTIPROPOSITO, 01 GRASA HHS 500, 01 GRASA, 01  ESTOPA"/>
    <m/>
    <x v="0"/>
    <n v="19651"/>
    <m/>
    <s v="M1 (250)"/>
    <x v="6"/>
    <n v="2025"/>
  </r>
  <r>
    <d v="2025-10-24T00:00:00"/>
    <x v="2"/>
    <s v="FRENOS"/>
    <n v="8"/>
    <s v="SE REALIZA REVISION DE FRENOS ENCONTRANDO DESGAST EN BANDAS Y CAMPANAS CILINDROS SE PROCEDE A ISTALAR BANDAS Y CILINDROS NUEVOS ARAMAR ASEGURANDO SU CORRECTO FUNCINAMIENTO "/>
    <s v="KIT DE BANDAS, CILINDROS DE RUEDAS RETEDNEDORES DE EJE RETENEDORES DE CAMPANA, LIQUIDO DE FRENO , GRASA ALTA TEMPERATURA "/>
    <s v="COT No. 251110"/>
    <x v="1"/>
    <n v="44648"/>
    <n v="1551766"/>
    <m/>
    <x v="6"/>
    <n v="2025"/>
  </r>
  <r>
    <d v="2025-10-24T00:00:00"/>
    <x v="2"/>
    <s v="REP. PLANIFICADO"/>
    <n v="4"/>
    <s v="SE REALIZA DESMONTAJE DE PORTA HORQUILLAS PARA CAMBIO DE RODAMIENTOS Y AJUSTE, CAMBIO DE DESLIZADORES "/>
    <s v="04 RODAMIENTOS CARRO PORTA HORQUILLAS (4) KIT LAINAS DE AJUSTE (1) "/>
    <s v="COT No. 251149"/>
    <x v="1"/>
    <n v="44648"/>
    <n v="2197000"/>
    <m/>
    <x v="6"/>
    <n v="2025"/>
  </r>
  <r>
    <d v="2025-10-27T00:00:00"/>
    <x v="7"/>
    <s v="REP. PLANIFICADO"/>
    <n v="8"/>
    <s v="CAMBIO DE KIT PTO "/>
    <s v="KIT PTO PIÑONES CADENA"/>
    <s v="COT No. 250938"/>
    <x v="1"/>
    <n v="14685"/>
    <n v="1596000"/>
    <m/>
    <x v="6"/>
    <n v="2025"/>
  </r>
  <r>
    <d v="2025-10-27T00:00:00"/>
    <x v="7"/>
    <s v="SIST. HIDRAULICO"/>
    <n v="2"/>
    <s v="CAMBIO MANGUERA HIDRUAULICA DE RETORNO BOMBA "/>
    <s v="01 MANGUERA HIDRULICA DE SUCCION "/>
    <s v="COT No. 251104"/>
    <x v="1"/>
    <n v="14685"/>
    <n v="371500"/>
    <m/>
    <x v="6"/>
    <n v="2025"/>
  </r>
  <r>
    <d v="2025-10-29T00:00:00"/>
    <x v="1"/>
    <s v="MTTO PREVENTIVO"/>
    <n v="8"/>
    <s v="SE REALIZA MANTENIMIENTO DE 1000 HORAS "/>
    <s v="01 ACEITE DE MOTOR, 02 FILTRO DE AIRE, 01 FILTRO DE MOTOR, 01 LUB DE CADENAS, 01 LIMP MULTIPROPOSITO, 01 GRASA HHS 500, 01 GRASA, 01  ESTOPA, 02 ACEITE HD ISO 68X5/GAL, 01 FILTRO HD, 08 ACEITE ATF DEXRON X1/4, 01 FILTRO TRANSM ATM, 01 EMPAQ SISTEMA LPG, 02 VALVULA LPG, 01 FILTRO LPG, 04 BUJIAS, 01 KIT SINCRONIZACION, 01 CORREA ALT, 02 RET CAMPANAS INT, 02 RET CAMPANAS EXT, 01 REFRIG X1/GAL."/>
    <m/>
    <x v="0"/>
    <n v="45609"/>
    <m/>
    <s v="M2 (1000)"/>
    <x v="6"/>
    <n v="2025"/>
  </r>
  <r>
    <d v="2025-10-30T00:00:00"/>
    <x v="9"/>
    <s v="MTTO PREVENTIVO"/>
    <n v="16"/>
    <s v="SE REALIZA MANTENIMIENTO DE 2000 HORAS "/>
    <s v="01 ACEITE DE MOTOR, 02 FILTRO DE AIRE, 01 FILTRO DE MOTOR, 01 LUB DE CADENAS, 01 LIMP MULTIPROPOSITO, 01 GRASA HHS 500, 01 GRASA, 01  ESTOPA, 02 ACEITE HD ISO 68X5/GAL, 01 FILTRO HD, 08 ACEITE ATF DEXRON X1/4, 01 FILTRO TRANSM ATM, 01 EMPAQ SISTEMA LPG, 02 VALVULA LPG, 01 FILTRO LPG, 04 BUJIAS, 01 KIT SINCRONIZACION, 01 CORREA ALT, 02 RET CAMPANAS INT, 02 RET CAMPANAS EXT, 01 REFRIG X1/GAL."/>
    <m/>
    <x v="0"/>
    <n v="58832"/>
    <m/>
    <s v="M3 (2000)"/>
    <x v="6"/>
    <n v="2025"/>
  </r>
  <r>
    <d v="2025-10-31T00:00:00"/>
    <x v="2"/>
    <s v="MTTO PREVENTIVO"/>
    <n v="4"/>
    <s v="SE REALIZA MANTENIMIENTO 250 HORAS "/>
    <s v="01 ACEITE DE MOTOR, 02 FILTRO DE AIRE, 01 FILTRO DE MOTOR, 01 LUB DE CADENAS, 01 LIMP MULTIPROPOSITO, 01 GRASA HHS 500, 01 GRASA, 01  ESTOPA"/>
    <m/>
    <x v="0"/>
    <n v="44717"/>
    <m/>
    <s v="M1 (250)"/>
    <x v="6"/>
    <n v="2025"/>
  </r>
  <r>
    <d v="2025-10-31T00:00:00"/>
    <x v="9"/>
    <s v="SEGURIDAD"/>
    <n v="2"/>
    <s v="CAMBIO DE LUCES "/>
    <s v="LUCES EXPLORADORAS "/>
    <s v="COT No. 251111"/>
    <x v="1"/>
    <n v="44717"/>
    <n v="280000"/>
    <m/>
    <x v="6"/>
    <n v="2025"/>
  </r>
  <r>
    <d v="2025-11-04T00:00:00"/>
    <x v="4"/>
    <s v="FRENOS"/>
    <n v="1"/>
    <s v="AJUSTE DE GUAYA DE FRENO"/>
    <m/>
    <m/>
    <x v="0"/>
    <n v="38029"/>
    <m/>
    <m/>
    <x v="7"/>
    <n v="2025"/>
  </r>
  <r>
    <d v="2025-11-06T00:00:00"/>
    <x v="4"/>
    <s v="ENCENDIDO"/>
    <n v="1"/>
    <s v="CAMBIO DE GUAYA ACELERADOR Y LEVA IMPULSORA "/>
    <s v="GUAYA ACELERADOR LEVA IMPULSORA"/>
    <s v="COT No. 251217"/>
    <x v="1"/>
    <n v="38046"/>
    <n v="262000"/>
    <m/>
    <x v="7"/>
    <n v="2025"/>
  </r>
  <r>
    <d v="2025-11-08T00:00:00"/>
    <x v="1"/>
    <s v="SIST. HIDRAULICO"/>
    <n v="4"/>
    <s v="SE REPORTA FUGA POR SITEMA HIDRAULICO-SE REPARÓ TUBERIA SIDE SHIFT"/>
    <s v="SERVICIO REPARACIÓN"/>
    <s v="COT No. 251218"/>
    <x v="1"/>
    <n v="44752"/>
    <n v="250000"/>
    <m/>
    <x v="7"/>
    <n v="2025"/>
  </r>
  <r>
    <d v="2025-11-11T00:00:00"/>
    <x v="2"/>
    <s v="FRENOS"/>
    <n v="1"/>
    <s v="GRADUACIÓN SISTEMA DE FRENOS "/>
    <m/>
    <m/>
    <x v="0"/>
    <n v="44781"/>
    <m/>
    <m/>
    <x v="7"/>
    <n v="2025"/>
  </r>
  <r>
    <d v="2025-11-11T00:00:00"/>
    <x v="1"/>
    <s v="FRENOS"/>
    <n v="1"/>
    <s v="REVISIÓN FRNO DE MANO"/>
    <m/>
    <m/>
    <x v="0"/>
    <n v="45679"/>
    <m/>
    <m/>
    <x v="7"/>
    <n v="2025"/>
  </r>
  <r>
    <d v="2025-11-16T00:00:00"/>
    <x v="3"/>
    <s v="MTTO PREVENTIVO"/>
    <n v="4"/>
    <s v="SE REALIZA MTTO PREVENTIVO"/>
    <s v="01 ACEITE DE MOTOR, 02 FILTRO DE AIRE, 01 FILTRO DE MOTOR, 01 LUB DE CADENAS, 01 LIMP MULTIPROPOSITO, 01 GRASA HHS 500, 01 GRASA, 01  ESTOPA"/>
    <m/>
    <x v="0"/>
    <n v="19994"/>
    <m/>
    <s v="M1 (250)"/>
    <x v="7"/>
    <n v="2025"/>
  </r>
  <r>
    <d v="2025-11-18T00:00:00"/>
    <x v="5"/>
    <s v="MTTO PREVENTIVO"/>
    <n v="4"/>
    <s v="SE REALIZA MTTO PREVENTIVO"/>
    <s v=" LUB DE CADENAS, 01 LIMP MULTIPROPOSITO, 01 GRASA HHS 500, 01 GRASA, 01  ESTOPA, 02 ACEITE HD ISO 68X5/GAL, 01 FILTRO HD,   CAMPANAS EXT."/>
    <m/>
    <x v="0"/>
    <n v="16591"/>
    <m/>
    <s v="M1 (250)"/>
    <x v="7"/>
    <n v="2025"/>
  </r>
  <r>
    <d v="2025-11-21T00:00:00"/>
    <x v="3"/>
    <s v="COMBUSTIBLE"/>
    <n v="4"/>
    <s v="FALLA EN SISTEMA DE GAS "/>
    <s v="CORRECCIÓN DE FALLA EN SISTEMA DE GAS "/>
    <s v="COT No. 251219"/>
    <x v="0"/>
    <n v="20069"/>
    <m/>
    <m/>
    <x v="7"/>
    <n v="2025"/>
  </r>
  <r>
    <d v="2025-11-22T00:00:00"/>
    <x v="1"/>
    <s v="SEGURIDAD"/>
    <n v="32"/>
    <s v="FALLA EN CAPOT DESOLDADO "/>
    <s v="REPARACIÓN DE CAPOT RECONSTRUCCIÓN DE SOLDADURA EN LAS VISAGRAS DE SUJECIÓN INSTALACIÓN PUESTA EN FUNCIONAMIENTO"/>
    <s v="COT No. 251220"/>
    <x v="1"/>
    <n v="45724"/>
    <n v="1154000"/>
    <m/>
    <x v="7"/>
    <n v="2025"/>
  </r>
  <r>
    <d v="2025-11-22T00:00:00"/>
    <x v="4"/>
    <s v="REP. PLANIFICADO"/>
    <n v="3"/>
    <s v="CAMBIO DE SIILA OPERARIO GRIFO DE DESFOGUE SERVO TRANSMISIÓN CORREA ALTERNADOR"/>
    <s v="01 SILLA OPERARIO, 01 TAPON DESFOGUE"/>
    <s v="COT No. 251225"/>
    <x v="1"/>
    <n v="45724"/>
    <n v="2563000"/>
    <m/>
    <x v="7"/>
    <n v="2025"/>
  </r>
  <r>
    <d v="2025-11-22T00:00:00"/>
    <x v="4"/>
    <s v="SIST. HIDRAULICO"/>
    <n v="6"/>
    <s v="FALLA EN MASTIL FUGA DE HIDRAULICO"/>
    <s v=" 02 CILINDRO DE INCLINACIÓN"/>
    <s v="COT No. 251224"/>
    <x v="1"/>
    <n v="38155"/>
    <n v="900000"/>
    <m/>
    <x v="7"/>
    <n v="2025"/>
  </r>
  <r>
    <d v="2025-11-24T00:00:00"/>
    <x v="1"/>
    <s v="FRENOS"/>
    <n v="2"/>
    <s v="FRENO DE ESTACIONAMIENTO DEFECTUOSO "/>
    <s v="CAOMBI DE PEDAL COMPLETO DE FRENO  DE ESTACIONAMIENTO "/>
    <s v="COT No. 251226"/>
    <x v="1"/>
    <n v="45727"/>
    <n v="2245000"/>
    <m/>
    <x v="7"/>
    <n v="2025"/>
  </r>
  <r>
    <d v="2025-11-25T00:00:00"/>
    <x v="2"/>
    <s v="SIST. HIDRAULICO"/>
    <n v="2"/>
    <s v="FUGA SISTEMA HIDRAULICO "/>
    <s v="DESMONTAJE DE CILINDRO INCLINACION IZQUIERDO PARA REPRACION MONTAJE DESPUES DE REPARADO, CROMADO DE BARRA EMPAQUETADURA BRUÑIDO DE CAMISA "/>
    <s v="COT No. 251227"/>
    <x v="1"/>
    <n v="44911"/>
    <n v="450000"/>
    <m/>
    <x v="7"/>
    <n v="2025"/>
  </r>
  <r>
    <d v="2025-11-26T00:00:00"/>
    <x v="4"/>
    <s v="ELECTRONICO"/>
    <n v="3"/>
    <s v="FALLA EN ALTERNADOR "/>
    <s v="ALTERNADOR REPARADO  "/>
    <s v="COT No. 251228"/>
    <x v="1"/>
    <n v="38172"/>
    <n v="585000"/>
    <m/>
    <x v="7"/>
    <n v="2025"/>
  </r>
  <r>
    <d v="2025-11-28T00:00:00"/>
    <x v="6"/>
    <s v="MTTO PREVENTIVO"/>
    <n v="4"/>
    <s v="SE REALIZA MANTENIMIENTO PREVENTIVO"/>
    <s v="LUBRICANTE ROST-OFF GRASA HHS-500 LIMPIADOR MULTIPROPÓSITO, LUBRICACIÓN DE PARTES MOVILES LIMPIADOR DE CONTACTOS "/>
    <m/>
    <x v="0"/>
    <n v="8293"/>
    <m/>
    <s v="M1 (250)"/>
    <x v="7"/>
    <n v="2025"/>
  </r>
  <r>
    <d v="2025-12-01T00:00:00"/>
    <x v="2"/>
    <s v="COMBUSTIBLE"/>
    <n v="1"/>
    <s v="FALLA ENNACOPLE SISTEMA DE GAS "/>
    <s v="CORRECION DE FALLA AJUSTE DE COMPONEBNTE "/>
    <m/>
    <x v="0"/>
    <n v="44964"/>
    <m/>
    <m/>
    <x v="8"/>
    <n v="2025"/>
  </r>
  <r>
    <d v="2025-12-01T00:00:00"/>
    <x v="4"/>
    <s v="MTTO PREVENTIVO"/>
    <n v="4"/>
    <s v="SE REALIZA MANTENIMIENTO PREVENTIVO"/>
    <s v="01 ACEITE DE MOTOR, 02 FILTRO DE AIRE, 01 FILTRO DE MOTOR, 01 LUB DE CADENAS, 01 LIMP MULTIPROPOSITO, 01 GRASA HHS 500, 01 GRASA, 01  ESTOPA"/>
    <m/>
    <x v="0"/>
    <n v="38196"/>
    <m/>
    <s v="M1 (250)"/>
    <x v="8"/>
    <n v="2025"/>
  </r>
  <r>
    <d v="2025-12-03T00:00:00"/>
    <x v="1"/>
    <s v="DIRECCION"/>
    <n v="32"/>
    <s v="RUEDAS DE DIRECCION CON DESGASTE"/>
    <s v="SERVICIO DE PRENSA HIDRAULICA, RINES 600.9 (2) RUEDAS 600.9 SOLIDEAL (2)"/>
    <s v="COT No. 250708"/>
    <x v="1"/>
    <n v="45837"/>
    <n v="8340000"/>
    <m/>
    <x v="8"/>
    <n v="2025"/>
  </r>
  <r>
    <d v="2025-12-03T00:00:00"/>
    <x v="4"/>
    <s v="REFRIGERACION"/>
    <n v="1"/>
    <s v="SOBRECALENTAMIENTO"/>
    <s v="NIVELACION DE REFRIGERANTE PURGA DEL SISTEMA DE REFIGERACION"/>
    <m/>
    <x v="0"/>
    <n v="38206"/>
    <m/>
    <m/>
    <x v="8"/>
    <n v="2025"/>
  </r>
  <r>
    <d v="2025-12-04T00:00:00"/>
    <x v="1"/>
    <s v="DIRECCION"/>
    <n v="1"/>
    <s v="FUGA CILINDRO DE DIRECCION "/>
    <s v="DESMONATAJE DE CILINDRO DE DIRECCION PARA REPARACION MONTAJE DESPUES DE REPARADO "/>
    <m/>
    <x v="0"/>
    <n v="45837"/>
    <m/>
    <m/>
    <x v="8"/>
    <n v="2025"/>
  </r>
  <r>
    <d v="2025-12-09T00:00:00"/>
    <x v="1"/>
    <s v="MASTIL"/>
    <n v="1"/>
    <s v="REPORTAN GOLPE EN HORQUILLAS"/>
    <s v="REVISION DE EQUIPO DESMONTAJE DE CAMPANAS PARA REVISION DE FRENOS "/>
    <m/>
    <x v="0"/>
    <n v="45892"/>
    <m/>
    <m/>
    <x v="8"/>
    <n v="2025"/>
  </r>
  <r>
    <d v="2025-12-10T00:00:00"/>
    <x v="1"/>
    <s v="MTTO PREVENTIVO"/>
    <n v="4"/>
    <s v="SE REALIZA MANTENIMIENTO PREVENTIVO"/>
    <s v="01 ACEITE DE MOTOR, 02 FILTRO DE AIRE, 01 FILTRO DE MOTOR, 01 LUB DE CADENAS, 01 LIMP MULTIPROPOSITO, 01 GRASA HHS 500, 01 GRASA, 01  ESTOPA"/>
    <m/>
    <x v="0"/>
    <n v="45892"/>
    <m/>
    <s v="M1 (250)"/>
    <x v="8"/>
    <n v="2025"/>
  </r>
  <r>
    <d v="2025-12-10T00:00:00"/>
    <x v="3"/>
    <s v="FRENOS"/>
    <n v="8"/>
    <s v="FALLA EN SITEMA DE FRENOS "/>
    <s v="DESMONTAJE DE CAMPANAS PARA REVISIÓN SISTEMA DE FRENOS CAMBIO DE RETENEDORES DE CAMPANA (2)  DE EJE (2)  KIT DE BANDAS (2) CILINDROS DE FRENO  (2)  RODAMIENTOS CONICOS (4) "/>
    <m/>
    <x v="0"/>
    <n v="20356"/>
    <m/>
    <m/>
    <x v="8"/>
    <n v="2025"/>
  </r>
  <r>
    <d v="2025-12-16T00:00:00"/>
    <x v="4"/>
    <s v="TRACCION"/>
    <n v="112"/>
    <s v="FALLA EN TORNILLO HOUSING"/>
    <s v="REVISION Y DIAGNOSTICO SE ENCONTRO TORNILLO DE HOUSING DESAJUSTADO DESMONTAJE DE MATIL Y HOUSING PARA MECANIZADO TRASLADO DE COMPONENTE FABRICACION DE TORNILLO EN MATERIAL EPECIAL AJUSTE DE CAVIDAD RECTIFICADO DE EJE "/>
    <s v="COT No. 260137"/>
    <x v="1"/>
    <n v="38412"/>
    <n v="2082500"/>
    <m/>
    <x v="8"/>
    <n v="2025"/>
  </r>
  <r>
    <d v="2025-12-17T00:00:00"/>
    <x v="3"/>
    <s v="MTTO PREVENTIVO"/>
    <n v="8"/>
    <s v="SE REALIZA MANTENIMIENTO PREVENTIVO"/>
    <s v="MANTENIMIENTO DE 2000 HORAS REVISION DE TODOS LOS SITEMAS CAMBIO DE FLUIDOS ACEITE HIDARULOCO ISO 68 20 GALONES ACEITE 80W90 X 2 GALONES LIQUIDO DE FRENOS X 2 PINTAS ACEITE DE MOTOR X 1 GALON REFRIFGERANTE X 2 GALONES TAPA RADIADOR X 1  KIT DE SINCRONIZACION BUJIAS EMPAQUETADURA DE GAS ACEITE ATF III X 8/4 FILTROS DE AIRE X2 FILTRO ACEITE MOTOR FILTRO DE HIDRAULICO FILTRO SERVOTRANSMISION "/>
    <m/>
    <x v="0"/>
    <n v="20441"/>
    <m/>
    <s v="M3 (2000)"/>
    <x v="8"/>
    <n v="2025"/>
  </r>
  <r>
    <d v="2025-12-17T00:00:00"/>
    <x v="2"/>
    <s v="MTTO PREVENTIVO"/>
    <n v="4"/>
    <s v="SE REALIZA MANTENIEMIENTO PREVENTIVO "/>
    <s v="01 ACEITE DE MOTOR, 02 FILTRO DE AIRE, 01 FILTRO DE MOTOR, 01 LUB DE CADENAS, 01 LIMP MULTIPROPOSITO, 01 GRASA HHS 500, 01 GRASA, 01  ESTOPA"/>
    <m/>
    <x v="0"/>
    <n v="45162"/>
    <m/>
    <s v="M1 (250)"/>
    <x v="8"/>
    <n v="2025"/>
  </r>
  <r>
    <d v="2025-12-18T00:00:00"/>
    <x v="7"/>
    <s v="MTTO PREVENTIVO"/>
    <n v="4"/>
    <s v="SE REALIZA MTTO PREVENTIVO "/>
    <s v="01 ACEITE DE MOTOR, 02 FILTRO DE AIRE, 01 FILTRO DE MOTOR, 01 LUB DE CADENAS, 01 LIMP MULTIPROPOSITO, 01 GRASA HHS 500, 01 GRASA, 01  ESTOPA"/>
    <m/>
    <x v="0"/>
    <n v="15169"/>
    <m/>
    <s v="M1 (250)"/>
    <x v="8"/>
    <n v="2025"/>
  </r>
  <r>
    <d v="2025-12-18T00:00:00"/>
    <x v="1"/>
    <s v="REP. PLANIFICADO"/>
    <n v="2"/>
    <s v="CAMBIO SILLA OPERARIO RUEDAS DEDIRECCION "/>
    <s v="SILLA OPERARIO CON SUSPENSION RUEDAS DE DIRECCION 600X9 "/>
    <s v="COT No. 251232"/>
    <x v="1"/>
    <n v="45593"/>
    <n v="3020220"/>
    <m/>
    <x v="8"/>
    <n v="2025"/>
  </r>
  <r>
    <d v="2025-12-18T00:00:00"/>
    <x v="7"/>
    <s v="REP. PLANIFICADO"/>
    <n v="6"/>
    <s v="RUEDAS CON DESGSTE CAMBIO DE RUEDAS DE CARGA Y DE DIRECCION CON RINES "/>
    <s v="RUEDAS 700X12 (2) RUEDAS 600X9 (2) RINES PARA RUEDAS 600XC9 (2)"/>
    <s v="COT No. 251078"/>
    <x v="1"/>
    <n v="15169"/>
    <n v="8006154"/>
    <m/>
    <x v="8"/>
    <n v="2025"/>
  </r>
  <r>
    <d v="2025-12-18T00:00:00"/>
    <x v="0"/>
    <s v="MTTO PREVENTIVO"/>
    <n v="4"/>
    <s v="SE REALIZA MANTENIEMIENTO PREVENTIVO "/>
    <s v="01 ACEITE DE MOTOR, 02 FILTRO DE AIRE, 01 FILTRO DE MOTOR, 01 LUB DE CADENAS, 01 LIMP MULTIPROPOSITO, 01 GRASA HHS 500, 01 GRASA, 01  ESTOPA"/>
    <m/>
    <x v="0"/>
    <n v="6727"/>
    <m/>
    <s v="M1 (250)"/>
    <x v="8"/>
    <n v="2025"/>
  </r>
  <r>
    <d v="2025-12-19T00:00:00"/>
    <x v="5"/>
    <s v="MTTO PREVENTIVO"/>
    <n v="4"/>
    <s v="SE REALIZA MANTENIEMIENTO PREVENTIVO "/>
    <s v="01 LIMP MULTIPRÓSITO, 01 GRASA HHS 500, 01 LUB DE CADENAS, 01 GRASA, 04 AGUA  DE BATERÍAS"/>
    <m/>
    <x v="0"/>
    <n v="16839"/>
    <m/>
    <s v="M1 (250)"/>
    <x v="8"/>
    <n v="2025"/>
  </r>
  <r>
    <d v="2025-12-20T00:00:00"/>
    <x v="3"/>
    <s v="FRENOS"/>
    <n v="4"/>
    <s v="FALLA EN SISTEMA DE FENOS "/>
    <s v="DESMONTAJE DE CAMPANAS SE ENCUNTRA CONTAMINADO CON ACEITE POR FALLA EN RETENEDOR DE EJE SE PROCEDE A LAVADO Y REEMPLAZO DEL MISMO "/>
    <s v="GARANTIA"/>
    <x v="0"/>
    <n v="20484"/>
    <m/>
    <m/>
    <x v="8"/>
    <n v="2025"/>
  </r>
  <r>
    <d v="2025-12-20T00:00:00"/>
    <x v="1"/>
    <s v="FRENOS"/>
    <n v="1"/>
    <s v="NOVEDAD CON LOS FRENOS "/>
    <s v="SE REALIZA CALIBRACION DE MECANISMO DE EXPANSION "/>
    <m/>
    <x v="0"/>
    <n v="45933"/>
    <m/>
    <m/>
    <x v="8"/>
    <n v="2025"/>
  </r>
  <r>
    <d v="2025-12-22T00:00:00"/>
    <x v="4"/>
    <s v="TRACCION"/>
    <n v="12"/>
    <s v="FALLA TORNILLO HOUSING"/>
    <s v="SE REALIZA INSTALACION DE HUISING ASEGURANDO SU CORRECTO FUNCINAMIENTO "/>
    <s v="COT No. 260137"/>
    <x v="1"/>
    <n v="38414"/>
    <n v="1750000"/>
    <m/>
    <x v="8"/>
    <n v="2025"/>
  </r>
  <r>
    <d v="2025-12-24T00:00:00"/>
    <x v="1"/>
    <s v="ENCENDIDO"/>
    <n v="12"/>
    <s v="FALLA EN ENCENDIDO Y FUERZA "/>
    <s v="SE REVISA FALLA EN AENCENDIDO CAMBIO DE ENPAQUETADURA SISTEMA DE GAS, CAMBIO DE MOTOR DE ARRANQUE DESMONTAJE CE CULATA CAMBIO DE SELLOS Y SENTADO DE VALVULA CAMBIO DE ENPAQUE CULATA AJUSTE PUESTA EN FUNCIONAMIENTO SE CORRIGE DAÑO EN HORQUILLAS "/>
    <s v="COT No. 260141"/>
    <x v="1"/>
    <n v="45976"/>
    <n v="1372307"/>
    <m/>
    <x v="8"/>
    <n v="2025"/>
  </r>
  <r>
    <d v="2025-12-24T00:00:00"/>
    <x v="0"/>
    <s v="REFRIGERACION"/>
    <n v="4"/>
    <s v="FALLA EN RADIADOR FUGA "/>
    <s v="DESMONTAJE DE RADIADOR PARA CORRECIION DE FUGA REPARACION MONTAJE DESPUES E REPARADO ENTREGA DE EQUIPO ASEGURANDO SU CORRECTO FUNCIONAMIENTO "/>
    <s v="COT No. 260156"/>
    <x v="1"/>
    <n v="6751"/>
    <n v="450000"/>
    <m/>
    <x v="8"/>
    <n v="2025"/>
  </r>
  <r>
    <d v="2025-12-27T00:00:00"/>
    <x v="0"/>
    <s v="ENCENDIDO"/>
    <n v="7"/>
    <s v="FALLA EN ENCENDIDO Y FUERZA "/>
    <s v="DESONTAJE DE CULATA PARA CAMBIO DE SELLOS EMPAQUE CULATA AJUSTE ASEGURANDO SU CORRECTO FUNCIONAMIENTO "/>
    <s v="COT No. 260158"/>
    <x v="1"/>
    <n v="6755"/>
    <n v="1058000"/>
    <m/>
    <x v="8"/>
    <n v="2025"/>
  </r>
  <r>
    <d v="2025-12-27T00:00:00"/>
    <x v="7"/>
    <s v="ENCENDIDO"/>
    <n v="1"/>
    <s v="FALLA EN ENCENDIDO "/>
    <s v="REVISION Y DIAGNOSTICO CAMBIO DE MOTOR DE ARRANQUE "/>
    <s v="COT No. 260159"/>
    <x v="1"/>
    <n v="15249"/>
    <n v="954000"/>
    <m/>
    <x v="8"/>
    <n v="2025"/>
  </r>
  <r>
    <d v="2025-12-29T00:00:00"/>
    <x v="2"/>
    <s v="ELECTRONICO"/>
    <n v="1"/>
    <s v="FALLA STOP"/>
    <s v="CAMBIO DE TAPAS STOP CILINDRO CAPO"/>
    <s v="COT No. 260162"/>
    <x v="1"/>
    <n v="45268"/>
    <n v="857473"/>
    <m/>
    <x v="8"/>
    <n v="2025"/>
  </r>
  <r>
    <d v="2025-12-30T00:00:00"/>
    <x v="4"/>
    <s v="MTTO PREVENTIVO"/>
    <n v="4"/>
    <s v="SE REALIZA MANTENIEMIENTO PREVENTIVO "/>
    <s v="01 ACEITE DE MOTOR, 02 FILTRO DE AIRE, 01 FILTRO DE MOTOR, 01 LUB DE CADENAS, 01 LIMP MULTIPROPOSITO, 01 GRASA HHS 500, 01 GRASA, 01  ESTOPA"/>
    <m/>
    <x v="0"/>
    <n v="38464"/>
    <m/>
    <s v="M1 (250)"/>
    <x v="8"/>
    <n v="2025"/>
  </r>
  <r>
    <m/>
    <x v="8"/>
    <m/>
    <m/>
    <m/>
    <m/>
    <m/>
    <x v="0"/>
    <m/>
    <m/>
    <m/>
    <x v="9"/>
    <n v="1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2989CC-7DD1-4584-B715-3D1F4BA3A997}" name="TablaDinámica6" cacheId="64" applyNumberFormats="0" applyBorderFormats="0" applyFontFormats="0" applyPatternFormats="0" applyAlignmentFormats="0" applyWidthHeightFormats="1" dataCaption="Valores" grandTotalCaption="TOTAL COSTO" updatedVersion="8" minRefreshableVersion="3" useAutoFormatting="1" itemPrintTitles="1" createdVersion="8" indent="0" outline="1" outlineData="1" multipleFieldFilters="0">
  <location ref="A3:L7" firstHeaderRow="1" firstDataRow="2" firstDataCol="1" rowPageCount="1" colPageCount="1"/>
  <pivotFields count="13">
    <pivotField showAll="0"/>
    <pivotField axis="axisCol" showAll="0">
      <items count="11">
        <item x="0"/>
        <item x="9"/>
        <item x="5"/>
        <item x="4"/>
        <item x="3"/>
        <item x="6"/>
        <item x="7"/>
        <item x="1"/>
        <item x="2"/>
        <item x="8"/>
        <item t="default"/>
      </items>
    </pivotField>
    <pivotField showAll="0"/>
    <pivotField showAll="0"/>
    <pivotField showAll="0"/>
    <pivotField showAll="0"/>
    <pivotField showAll="0"/>
    <pivotField axis="axisRow" showAll="0">
      <items count="5">
        <item m="1" x="3"/>
        <item x="1"/>
        <item m="1" x="2"/>
        <item x="0"/>
        <item t="default"/>
      </items>
    </pivotField>
    <pivotField showAll="0"/>
    <pivotField dataField="1" showAll="0"/>
    <pivotField showAll="0"/>
    <pivotField axis="axisPage" multipleItemSelectionAllowed="1" showAll="0">
      <items count="12">
        <item m="1" x="10"/>
        <item x="0"/>
        <item x="1"/>
        <item x="2"/>
        <item x="3"/>
        <item x="4"/>
        <item x="5"/>
        <item x="6"/>
        <item x="9"/>
        <item x="7"/>
        <item x="8"/>
        <item t="default"/>
      </items>
    </pivotField>
    <pivotField showAll="0"/>
  </pivotFields>
  <rowFields count="1">
    <field x="7"/>
  </rowFields>
  <rowItems count="3">
    <i>
      <x v="1"/>
    </i>
    <i>
      <x v="3"/>
    </i>
    <i t="grand">
      <x/>
    </i>
  </rowItems>
  <colFields count="1">
    <field x="1"/>
  </colFields>
  <colItems count="11">
    <i>
      <x/>
    </i>
    <i>
      <x v="1"/>
    </i>
    <i>
      <x v="2"/>
    </i>
    <i>
      <x v="3"/>
    </i>
    <i>
      <x v="4"/>
    </i>
    <i>
      <x v="5"/>
    </i>
    <i>
      <x v="6"/>
    </i>
    <i>
      <x v="7"/>
    </i>
    <i>
      <x v="8"/>
    </i>
    <i>
      <x v="9"/>
    </i>
    <i t="grand">
      <x/>
    </i>
  </colItems>
  <pageFields count="1">
    <pageField fld="11" hier="-1"/>
  </pageFields>
  <dataFields count="1">
    <dataField name="COSTOS" fld="9" baseField="0" baseItem="0" numFmtId="164"/>
  </dataFields>
  <formats count="2">
    <format dxfId="0">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M184" totalsRowShown="0" headerRowDxfId="16" dataDxfId="15">
  <autoFilter ref="A1:M184" xr:uid="{00000000-000C-0000-FFFF-FFFF00000000}">
    <filterColumn colId="1">
      <filters>
        <filter val="TOYOTA 9"/>
      </filters>
    </filterColumn>
  </autoFilter>
  <tableColumns count="13">
    <tableColumn id="1" xr3:uid="{00000000-0010-0000-0000-000001000000}" name="FECHA" dataDxfId="14"/>
    <tableColumn id="2" xr3:uid="{00000000-0010-0000-0000-000002000000}" name="EQUIPO" dataDxfId="13"/>
    <tableColumn id="3" xr3:uid="{00000000-0010-0000-0000-000003000000}" name="SISTEMA " dataDxfId="12"/>
    <tableColumn id="4" xr3:uid="{00000000-0010-0000-0000-000004000000}" name="TIEMPO" dataDxfId="11"/>
    <tableColumn id="5" xr3:uid="{00000000-0010-0000-0000-000005000000}" name="NOVEDAD" dataDxfId="10"/>
    <tableColumn id="6" xr3:uid="{00000000-0010-0000-0000-000006000000}" name="REPUESTOS" dataDxfId="9"/>
    <tableColumn id="10" xr3:uid="{DB267627-1572-45C4-809E-EFD0B98402D8}" name="No. COTIZACION" dataDxfId="8"/>
    <tableColumn id="13" xr3:uid="{6A09C2E5-1FA8-4513-A722-B7268B6C7522}" name="PROCESO " dataDxfId="7"/>
    <tableColumn id="7" xr3:uid="{00000000-0010-0000-0000-000007000000}" name="HOROMETRO" dataDxfId="6"/>
    <tableColumn id="8" xr3:uid="{00000000-0010-0000-0000-000008000000}" name="COSTO" dataDxfId="5" dataCellStyle="Moneda"/>
    <tableColumn id="11" xr3:uid="{00000000-0010-0000-0000-00000B000000}" name="PREVENTIVO" dataDxfId="4"/>
    <tableColumn id="9" xr3:uid="{00000000-0010-0000-0000-000009000000}" name="MES" dataDxfId="3">
      <calculatedColumnFormula>MONTH(A2)</calculatedColumnFormula>
    </tableColumn>
    <tableColumn id="12" xr3:uid="{5A60B409-89C7-4AC4-B16B-FF1BB3D03514}" name="AÑO" dataDxfId="2">
      <calculatedColumnFormula>YEAR(Tabla1[[#This Row],[FECHA]])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EEBE1D-800D-40CC-853E-F9896055983E}">
  <we:reference id="wa200005502" version="1.0.0.12" store="es-ES" storeType="OMEX"/>
  <we:alternateReferences>
    <we:reference id="wa200005502" version="1.0.0.12" store="wa200005502" storeType="OMEX"/>
  </we:alternateReferences>
  <we:properties>
    <we:property name="docId" value="&quot;czfnayhsUbjnfBEeGpoLN&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drive.google.com/file/d/13W5fz2mtKfD-P6srmSp0HyYc13r4W-L0/view?usp=drive_link" TargetMode="External"/><Relationship Id="rId18" Type="http://schemas.openxmlformats.org/officeDocument/2006/relationships/hyperlink" Target="https://drive.google.com/file/d/1PUnASYqu_iE9Icu97ZJxa_6MD6giIdeC/view?usp=drive_link" TargetMode="External"/><Relationship Id="rId26" Type="http://schemas.openxmlformats.org/officeDocument/2006/relationships/hyperlink" Target="https://drive.google.com/file/d/1Vo85J1XRE540JHti9cTufUx1xYtr8pH7/view?usp=drive_link" TargetMode="External"/><Relationship Id="rId39" Type="http://schemas.openxmlformats.org/officeDocument/2006/relationships/hyperlink" Target="https://drive.google.com/file/d/17z2AC4MFfr87n2sbUv61rzyMT2ET6W3i/view?usp=drive_link" TargetMode="External"/><Relationship Id="rId21" Type="http://schemas.openxmlformats.org/officeDocument/2006/relationships/hyperlink" Target="https://drive.google.com/file/d/1hoFMi0KQuHlPlhAXCDznwwwnhj8g4Pps/view?usp=drive_link" TargetMode="External"/><Relationship Id="rId34" Type="http://schemas.openxmlformats.org/officeDocument/2006/relationships/hyperlink" Target="https://drive.google.com/file/d/1mlFJg9YrUAlsxDIWNB7RCOStFI5aCYa3/view?usp=drive_link" TargetMode="External"/><Relationship Id="rId42" Type="http://schemas.openxmlformats.org/officeDocument/2006/relationships/hyperlink" Target="https://drive.google.com/file/d/1hok65Y_nXDWLOc0DxYIxMxF-kqi8--xI/view?usp=drive_link" TargetMode="External"/><Relationship Id="rId47" Type="http://schemas.openxmlformats.org/officeDocument/2006/relationships/hyperlink" Target="https://drive.google.com/file/d/1S-m-rc-R37SYl6GhCh3rneP_uWQY1p_z/view?usp=drive_link" TargetMode="External"/><Relationship Id="rId50" Type="http://schemas.openxmlformats.org/officeDocument/2006/relationships/hyperlink" Target="https://drive.google.com/file/d/1A48tul-iZT8R40l1sRNVk00iei1p1-Ki/view?usp=drive_link" TargetMode="External"/><Relationship Id="rId7" Type="http://schemas.openxmlformats.org/officeDocument/2006/relationships/hyperlink" Target="https://drive.google.com/file/d/1D7PKq3Gw0W23QaeOZEnJL6Ukk_taQJ1G/view?usp=drive_link" TargetMode="External"/><Relationship Id="rId2" Type="http://schemas.openxmlformats.org/officeDocument/2006/relationships/hyperlink" Target="https://drive.google.com/file/d/1CJ9AwMfrZhER615t8e5KKjoWBAI5fQSy/view?usp=drive_link" TargetMode="External"/><Relationship Id="rId16" Type="http://schemas.openxmlformats.org/officeDocument/2006/relationships/hyperlink" Target="https://drive.google.com/file/d/1mO63jXRA9OQ-eHyaxqf4VZIJVIXOvMSo/view?usp=drive_link" TargetMode="External"/><Relationship Id="rId29" Type="http://schemas.openxmlformats.org/officeDocument/2006/relationships/hyperlink" Target="https://drive.google.com/file/d/1wGe6y_J0AxzBAhAxfTeIGtYEqHFx3BKy/view?usp=drive_link" TargetMode="External"/><Relationship Id="rId11" Type="http://schemas.openxmlformats.org/officeDocument/2006/relationships/hyperlink" Target="https://drive.google.com/file/d/1ioX1RHi8azXTLBjkOudEJyB59rmcu_-T/view?usp=drive_link" TargetMode="External"/><Relationship Id="rId24" Type="http://schemas.openxmlformats.org/officeDocument/2006/relationships/hyperlink" Target="https://drive.google.com/file/d/1dksY9rAlWjRp4w7lG2ll3V0FaPAXj3G4/view?usp=drive_link" TargetMode="External"/><Relationship Id="rId32" Type="http://schemas.openxmlformats.org/officeDocument/2006/relationships/hyperlink" Target="https://drive.google.com/file/d/1B23F2uC_ffmehgdAfqxMeeOWYYeI3tIY/view?usp=drive_link" TargetMode="External"/><Relationship Id="rId37" Type="http://schemas.openxmlformats.org/officeDocument/2006/relationships/hyperlink" Target="https://drive.google.com/file/d/10v3m9UXxhKzSMKwB9EdTj4a9doSDieKq/view?usp=drive_link" TargetMode="External"/><Relationship Id="rId40" Type="http://schemas.openxmlformats.org/officeDocument/2006/relationships/hyperlink" Target="https://drive.google.com/file/d/1KEmy804ZH-jiYxLQbU5sHlNcExI1EInh/view?usp=drive_link" TargetMode="External"/><Relationship Id="rId45" Type="http://schemas.openxmlformats.org/officeDocument/2006/relationships/hyperlink" Target="https://drive.google.com/file/d/1jVuC-QvfE5YXluTbP3wB3nGHY4V0qeka/view?usp=drive_link" TargetMode="External"/><Relationship Id="rId53" Type="http://schemas.openxmlformats.org/officeDocument/2006/relationships/table" Target="../tables/table1.xml"/><Relationship Id="rId5" Type="http://schemas.openxmlformats.org/officeDocument/2006/relationships/hyperlink" Target="https://drive.google.com/file/d/1-mYzI9I6orfUmBo_8gzQwBPhWt7ehzsZ/view?usp=drive_link" TargetMode="External"/><Relationship Id="rId10" Type="http://schemas.openxmlformats.org/officeDocument/2006/relationships/hyperlink" Target="https://drive.google.com/file/d/15sTPza_ncUp-7QIHWfLFI6ya1th9Sw1p/view?usp=drive_link" TargetMode="External"/><Relationship Id="rId19" Type="http://schemas.openxmlformats.org/officeDocument/2006/relationships/hyperlink" Target="https://drive.google.com/file/d/1kyJztJKxmkDh8zhrkdD-Emvb7mnqUB7j/view?usp=drive_link" TargetMode="External"/><Relationship Id="rId31" Type="http://schemas.openxmlformats.org/officeDocument/2006/relationships/hyperlink" Target="https://drive.google.com/file/d/1Q1YvXgVQxIg50-Lzq0EtBkt-LwzLk3em/view?usp=drive_link" TargetMode="External"/><Relationship Id="rId44" Type="http://schemas.openxmlformats.org/officeDocument/2006/relationships/hyperlink" Target="https://drive.google.com/file/d/1SBrni_3YZ8qKBb9_rpwVWRBsTWMbstGm/view?usp=drive_link" TargetMode="External"/><Relationship Id="rId52" Type="http://schemas.openxmlformats.org/officeDocument/2006/relationships/hyperlink" Target="https://drive.google.com/file/d/1mB3pFgppK0RjJD0w9fb74pT1AOWN1AXT/view?usp=drive_link" TargetMode="External"/><Relationship Id="rId4" Type="http://schemas.openxmlformats.org/officeDocument/2006/relationships/hyperlink" Target="https://drive.google.com/file/d/1-mYzI9I6orfUmBo_8gzQwBPhWt7ehzsZ/view?usp=drive_link" TargetMode="External"/><Relationship Id="rId9" Type="http://schemas.openxmlformats.org/officeDocument/2006/relationships/hyperlink" Target="https://drive.google.com/file/d/15sTPza_ncUp-7QIHWfLFI6ya1th9Sw1p/view?usp=drive_link" TargetMode="External"/><Relationship Id="rId14" Type="http://schemas.openxmlformats.org/officeDocument/2006/relationships/hyperlink" Target="https://drive.google.com/file/d/1D7PKq3Gw0W23QaeOZEnJL6Ukk_taQJ1G/view?usp=drive_link" TargetMode="External"/><Relationship Id="rId22" Type="http://schemas.openxmlformats.org/officeDocument/2006/relationships/hyperlink" Target="https://drive.google.com/file/d/1na47byOT7QRi9ov1-mYwBhvG-18XO06k/view?usp=drive_link" TargetMode="External"/><Relationship Id="rId27" Type="http://schemas.openxmlformats.org/officeDocument/2006/relationships/hyperlink" Target="https://drive.google.com/file/d/1xdokw8hUfzftvm2KZcWCXz4coDT_JwVm/view?usp=drive_link" TargetMode="External"/><Relationship Id="rId30" Type="http://schemas.openxmlformats.org/officeDocument/2006/relationships/hyperlink" Target="https://drive.google.com/file/d/1zTz_06GqImq7St06GbF6GBElwGpAd4ES/view?usp=drive_link" TargetMode="External"/><Relationship Id="rId35" Type="http://schemas.openxmlformats.org/officeDocument/2006/relationships/hyperlink" Target="https://drive.google.com/file/d/1iE5l9ZHbXtXNgcyPowL49RimgkqViXrJ/view?usp=drive_link" TargetMode="External"/><Relationship Id="rId43" Type="http://schemas.openxmlformats.org/officeDocument/2006/relationships/hyperlink" Target="https://drive.google.com/file/d/17EobwNi1eyFHcx52GJ1qHEVJNbKPpE09/view?usp=drive_link" TargetMode="External"/><Relationship Id="rId48" Type="http://schemas.openxmlformats.org/officeDocument/2006/relationships/hyperlink" Target="https://drive.google.com/file/d/1-OCotygZVbIvXI--ze3q7ASRcHvB6B-X/view?usp=drive_link" TargetMode="External"/><Relationship Id="rId8" Type="http://schemas.openxmlformats.org/officeDocument/2006/relationships/hyperlink" Target="https://drive.google.com/file/d/1vwwoFkS-I3Lhi-jaPQ5nSxxguL17LETQ/view?usp=drive_link" TargetMode="External"/><Relationship Id="rId51" Type="http://schemas.openxmlformats.org/officeDocument/2006/relationships/hyperlink" Target="https://drive.google.com/file/d/1mcwkJKM5BNAHrNoKY3qxFk9ibBO7Gg6X/view?usp=drive_link" TargetMode="External"/><Relationship Id="rId3" Type="http://schemas.openxmlformats.org/officeDocument/2006/relationships/hyperlink" Target="https://drive.google.com/file/d/10tgx7RfobXrMhvLHKgBEFvbGh6SELNWp/view?usp=drive_link" TargetMode="External"/><Relationship Id="rId12" Type="http://schemas.openxmlformats.org/officeDocument/2006/relationships/hyperlink" Target="https://drive.google.com/file/d/1CXQh68yDkpbAqheRkxs_Ajr77V8Q_c0l/view?usp=drive_link" TargetMode="External"/><Relationship Id="rId17" Type="http://schemas.openxmlformats.org/officeDocument/2006/relationships/hyperlink" Target="https://drive.google.com/file/d/1ioX1RHi8azXTLBjkOudEJyB59rmcu_-T/view?usp=drive_link" TargetMode="External"/><Relationship Id="rId25" Type="http://schemas.openxmlformats.org/officeDocument/2006/relationships/hyperlink" Target="https://drive.google.com/file/d/1qmEkuceoVZyVdp5rX4au96dAZtiJN1H7/view?usp=drive_link" TargetMode="External"/><Relationship Id="rId33" Type="http://schemas.openxmlformats.org/officeDocument/2006/relationships/hyperlink" Target="https://drive.google.com/file/d/1kf6y4sEzaMa5WYIFTpCr3guUbP9c7MxB/view?usp=drive_link" TargetMode="External"/><Relationship Id="rId38" Type="http://schemas.openxmlformats.org/officeDocument/2006/relationships/hyperlink" Target="https://drive.google.com/file/d/1LbRhaZLZVzBNSoR50HQzfPe2QUR2SPGe/view?usp=drive_link" TargetMode="External"/><Relationship Id="rId46" Type="http://schemas.openxmlformats.org/officeDocument/2006/relationships/hyperlink" Target="https://drive.google.com/file/d/1YLWaR8qU5cqMDBbBFQv2cxslMsjQAw91/view?usp=drive_link" TargetMode="External"/><Relationship Id="rId20" Type="http://schemas.openxmlformats.org/officeDocument/2006/relationships/hyperlink" Target="https://drive.google.com/file/d/13PKszOimrWRJXPgJot_d-iYkt-9K7mPl/view?usp=drive_link" TargetMode="External"/><Relationship Id="rId41" Type="http://schemas.openxmlformats.org/officeDocument/2006/relationships/hyperlink" Target="https://drive.google.com/file/d/13Xn0QJBhSdi4Ud9I0C3Ts71KMsA5Mdso/view?usp=drive_link" TargetMode="External"/><Relationship Id="rId54" Type="http://schemas.microsoft.com/office/2019/04/relationships/namedSheetView" Target="../namedSheetViews/namedSheetView1.xml"/><Relationship Id="rId1" Type="http://schemas.openxmlformats.org/officeDocument/2006/relationships/hyperlink" Target="https://drive.google.com/file/d/1D8w4yNQNYnLueAXT1iNG7NkNRP3_JCHw/view?usp=drive_link" TargetMode="External"/><Relationship Id="rId6" Type="http://schemas.openxmlformats.org/officeDocument/2006/relationships/hyperlink" Target="https://drive.google.com/file/d/1D7PKq3Gw0W23QaeOZEnJL6Ukk_taQJ1G/view?usp=drive_link" TargetMode="External"/><Relationship Id="rId15" Type="http://schemas.openxmlformats.org/officeDocument/2006/relationships/hyperlink" Target="https://drive.google.com/file/d/1RoNHMk0P2dz6Vc3iQQupiP-L79nc__8F/view?usp=drive_link" TargetMode="External"/><Relationship Id="rId23" Type="http://schemas.openxmlformats.org/officeDocument/2006/relationships/hyperlink" Target="https://drive.google.com/file/d/133fxJ227wWXKGpbScqfvpYGX7kqIq3v7/view?usp=drive_link" TargetMode="External"/><Relationship Id="rId28" Type="http://schemas.openxmlformats.org/officeDocument/2006/relationships/hyperlink" Target="https://drive.google.com/file/d/1P-GY2o3ziRh3lGQpChpbY99Eebm4UC9A/view?usp=drive_link" TargetMode="External"/><Relationship Id="rId36" Type="http://schemas.openxmlformats.org/officeDocument/2006/relationships/hyperlink" Target="https://drive.google.com/file/d/1W72kXJUZ0BDFS6sM4I29CeoFolqb1sBt/view?usp=drive_link" TargetMode="External"/><Relationship Id="rId49" Type="http://schemas.openxmlformats.org/officeDocument/2006/relationships/hyperlink" Target="https://drive.google.com/file/d/17EobwNi1eyFHcx52GJ1qHEVJNbKPpE09/view?usp=drive_link"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16797-2B84-4985-AEEE-B5F0FEFD8A57}">
  <dimension ref="A1:V7"/>
  <sheetViews>
    <sheetView tabSelected="1" workbookViewId="0">
      <selection activeCell="J6" sqref="J6"/>
    </sheetView>
  </sheetViews>
  <sheetFormatPr baseColWidth="10" defaultColWidth="11.42578125" defaultRowHeight="15" x14ac:dyDescent="0.25"/>
  <cols>
    <col min="1" max="1" width="17.5703125" bestFit="1" customWidth="1"/>
    <col min="2" max="2" width="22.42578125" bestFit="1" customWidth="1"/>
    <col min="3" max="4" width="12" bestFit="1" customWidth="1"/>
    <col min="5" max="6" width="13" bestFit="1" customWidth="1"/>
    <col min="7" max="7" width="12" bestFit="1" customWidth="1"/>
    <col min="8" max="10" width="13" bestFit="1" customWidth="1"/>
    <col min="11" max="11" width="11" bestFit="1" customWidth="1"/>
    <col min="12" max="12" width="14" bestFit="1" customWidth="1"/>
    <col min="13" max="20" width="22.42578125" bestFit="1" customWidth="1"/>
    <col min="21" max="21" width="20" bestFit="1" customWidth="1"/>
    <col min="22" max="22" width="17.85546875" bestFit="1" customWidth="1"/>
    <col min="23" max="37" width="22.42578125" bestFit="1" customWidth="1"/>
    <col min="38" max="38" width="12.5703125" bestFit="1" customWidth="1"/>
  </cols>
  <sheetData>
    <row r="1" spans="1:22" x14ac:dyDescent="0.25">
      <c r="A1" s="69" t="s">
        <v>0</v>
      </c>
      <c r="B1" t="s">
        <v>1</v>
      </c>
    </row>
    <row r="3" spans="1:22" x14ac:dyDescent="0.25">
      <c r="A3" s="69" t="s">
        <v>14</v>
      </c>
      <c r="B3" s="69" t="s">
        <v>2</v>
      </c>
    </row>
    <row r="4" spans="1:22" x14ac:dyDescent="0.25">
      <c r="A4" s="69" t="s">
        <v>390</v>
      </c>
      <c r="B4" t="s">
        <v>3</v>
      </c>
      <c r="C4" t="s">
        <v>4</v>
      </c>
      <c r="D4" t="s">
        <v>5</v>
      </c>
      <c r="E4" t="s">
        <v>6</v>
      </c>
      <c r="F4" t="s">
        <v>7</v>
      </c>
      <c r="G4" t="s">
        <v>8</v>
      </c>
      <c r="H4" t="s">
        <v>9</v>
      </c>
      <c r="I4" t="s">
        <v>10</v>
      </c>
      <c r="J4" t="s">
        <v>11</v>
      </c>
      <c r="K4" t="s">
        <v>12</v>
      </c>
      <c r="L4" t="s">
        <v>13</v>
      </c>
    </row>
    <row r="5" spans="1:22" s="12" customFormat="1" x14ac:dyDescent="0.25">
      <c r="A5" s="90" t="s">
        <v>153</v>
      </c>
      <c r="B5" s="70">
        <v>5370150</v>
      </c>
      <c r="C5" s="70">
        <v>2052100</v>
      </c>
      <c r="D5" s="70">
        <v>1558000</v>
      </c>
      <c r="E5" s="70">
        <v>21239234</v>
      </c>
      <c r="F5" s="70">
        <v>14811574</v>
      </c>
      <c r="G5" s="70">
        <v>2859800</v>
      </c>
      <c r="H5" s="70">
        <v>19563994</v>
      </c>
      <c r="I5" s="70">
        <v>25724227</v>
      </c>
      <c r="J5" s="70">
        <v>7594239</v>
      </c>
      <c r="K5" s="70"/>
      <c r="L5" s="70">
        <v>100773318</v>
      </c>
      <c r="M5"/>
      <c r="N5"/>
      <c r="O5"/>
      <c r="P5"/>
      <c r="Q5"/>
      <c r="R5"/>
      <c r="S5"/>
      <c r="T5"/>
      <c r="U5"/>
      <c r="V5"/>
    </row>
    <row r="6" spans="1:22" x14ac:dyDescent="0.25">
      <c r="A6" s="90" t="s">
        <v>12</v>
      </c>
      <c r="B6" s="70"/>
      <c r="C6" s="70"/>
      <c r="D6" s="70"/>
      <c r="E6" s="70"/>
      <c r="F6" s="70">
        <v>1035000</v>
      </c>
      <c r="G6" s="70"/>
      <c r="H6" s="70"/>
      <c r="I6" s="70"/>
      <c r="J6" s="70">
        <v>4796000</v>
      </c>
      <c r="K6" s="70"/>
      <c r="L6" s="70">
        <v>5831000</v>
      </c>
    </row>
    <row r="7" spans="1:22" x14ac:dyDescent="0.25">
      <c r="A7" s="90" t="s">
        <v>13</v>
      </c>
      <c r="B7" s="70">
        <v>5370150</v>
      </c>
      <c r="C7" s="70">
        <v>2052100</v>
      </c>
      <c r="D7" s="70">
        <v>1558000</v>
      </c>
      <c r="E7" s="70">
        <v>21239234</v>
      </c>
      <c r="F7" s="70">
        <v>15846574</v>
      </c>
      <c r="G7" s="70">
        <v>2859800</v>
      </c>
      <c r="H7" s="70">
        <v>19563994</v>
      </c>
      <c r="I7" s="70">
        <v>25724227</v>
      </c>
      <c r="J7" s="70">
        <v>12390239</v>
      </c>
      <c r="K7" s="70"/>
      <c r="L7" s="70">
        <v>106604318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O218"/>
  <sheetViews>
    <sheetView topLeftCell="F1" zoomScale="70" zoomScaleNormal="70" workbookViewId="0">
      <selection activeCell="H64" sqref="H64"/>
    </sheetView>
  </sheetViews>
  <sheetFormatPr baseColWidth="10" defaultColWidth="10.7109375" defaultRowHeight="15" x14ac:dyDescent="0.25"/>
  <cols>
    <col min="1" max="1" width="16" style="19" bestFit="1" customWidth="1"/>
    <col min="2" max="2" width="17.28515625" style="14" bestFit="1" customWidth="1"/>
    <col min="3" max="3" width="20.5703125" style="16" bestFit="1" customWidth="1"/>
    <col min="4" max="4" width="17.140625" style="16" bestFit="1" customWidth="1"/>
    <col min="5" max="5" width="86.42578125" style="13" bestFit="1" customWidth="1"/>
    <col min="6" max="6" width="79.5703125" style="17" customWidth="1"/>
    <col min="7" max="7" width="27.28515625" style="16" bestFit="1" customWidth="1"/>
    <col min="8" max="8" width="20" style="16" bestFit="1" customWidth="1"/>
    <col min="9" max="9" width="23.42578125" style="12" bestFit="1" customWidth="1"/>
    <col min="10" max="10" width="19.140625" style="75" bestFit="1" customWidth="1"/>
    <col min="11" max="11" width="23.140625" bestFit="1" customWidth="1"/>
    <col min="12" max="12" width="13.140625" bestFit="1" customWidth="1"/>
  </cols>
  <sheetData>
    <row r="1" spans="1:13" s="14" customFormat="1" x14ac:dyDescent="0.25">
      <c r="A1" s="15" t="s">
        <v>15</v>
      </c>
      <c r="B1" s="14" t="s">
        <v>16</v>
      </c>
      <c r="C1" s="14" t="s">
        <v>17</v>
      </c>
      <c r="D1" s="14" t="s">
        <v>18</v>
      </c>
      <c r="E1" s="13" t="s">
        <v>19</v>
      </c>
      <c r="F1" s="17" t="s">
        <v>20</v>
      </c>
      <c r="G1" s="17" t="s">
        <v>21</v>
      </c>
      <c r="H1" s="17" t="s">
        <v>22</v>
      </c>
      <c r="I1" s="14" t="s">
        <v>23</v>
      </c>
      <c r="J1" s="76" t="s">
        <v>24</v>
      </c>
      <c r="K1" s="14" t="s">
        <v>25</v>
      </c>
      <c r="L1" s="14" t="s">
        <v>0</v>
      </c>
      <c r="M1" s="14" t="s">
        <v>26</v>
      </c>
    </row>
    <row r="2" spans="1:13" hidden="1" x14ac:dyDescent="0.25">
      <c r="A2" s="15">
        <v>45748</v>
      </c>
      <c r="B2" s="14" t="s">
        <v>3</v>
      </c>
      <c r="C2" s="14" t="s">
        <v>27</v>
      </c>
      <c r="D2" s="14">
        <v>8</v>
      </c>
      <c r="E2" s="13" t="s">
        <v>28</v>
      </c>
      <c r="F2" s="66" t="s">
        <v>29</v>
      </c>
      <c r="G2" s="17"/>
      <c r="H2" s="17"/>
      <c r="I2" s="55"/>
      <c r="J2" s="18"/>
      <c r="K2" s="14"/>
      <c r="L2" s="14">
        <f t="shared" ref="L2:L27" si="0">MONTH(A2)</f>
        <v>4</v>
      </c>
      <c r="M2" s="14">
        <f>YEAR(Tabla1[[#This Row],[FECHA]])</f>
        <v>2025</v>
      </c>
    </row>
    <row r="3" spans="1:13" hidden="1" x14ac:dyDescent="0.25">
      <c r="A3" s="15">
        <v>45748</v>
      </c>
      <c r="B3" s="14" t="s">
        <v>10</v>
      </c>
      <c r="C3" s="14" t="s">
        <v>30</v>
      </c>
      <c r="D3" s="14">
        <v>7</v>
      </c>
      <c r="E3" s="13" t="s">
        <v>31</v>
      </c>
      <c r="F3" s="66" t="s">
        <v>32</v>
      </c>
      <c r="G3" s="17"/>
      <c r="H3" s="17"/>
      <c r="I3" s="55"/>
      <c r="J3" s="18"/>
      <c r="K3" s="14"/>
      <c r="L3" s="14">
        <f t="shared" si="0"/>
        <v>4</v>
      </c>
      <c r="M3" s="14">
        <f>YEAR(Tabla1[[#This Row],[FECHA]])</f>
        <v>2025</v>
      </c>
    </row>
    <row r="4" spans="1:13" hidden="1" x14ac:dyDescent="0.25">
      <c r="A4" s="15">
        <v>45749</v>
      </c>
      <c r="B4" s="14" t="s">
        <v>3</v>
      </c>
      <c r="C4" s="14" t="s">
        <v>27</v>
      </c>
      <c r="D4" s="14">
        <v>36</v>
      </c>
      <c r="E4" s="13" t="s">
        <v>33</v>
      </c>
      <c r="F4" s="66" t="s">
        <v>34</v>
      </c>
      <c r="G4" s="17"/>
      <c r="H4" s="17"/>
      <c r="I4" s="55"/>
      <c r="J4" s="18"/>
      <c r="K4" s="14"/>
      <c r="L4" s="14">
        <f t="shared" si="0"/>
        <v>4</v>
      </c>
      <c r="M4" s="14">
        <f>YEAR(Tabla1[[#This Row],[FECHA]])</f>
        <v>2025</v>
      </c>
    </row>
    <row r="5" spans="1:13" x14ac:dyDescent="0.25">
      <c r="A5" s="15">
        <v>45749</v>
      </c>
      <c r="B5" s="14" t="s">
        <v>11</v>
      </c>
      <c r="C5" s="14" t="s">
        <v>27</v>
      </c>
      <c r="D5" s="14">
        <v>7</v>
      </c>
      <c r="E5" s="13" t="s">
        <v>35</v>
      </c>
      <c r="F5" s="66" t="s">
        <v>36</v>
      </c>
      <c r="G5" s="17"/>
      <c r="H5" s="17"/>
      <c r="I5" s="55"/>
      <c r="J5" s="18"/>
      <c r="K5" s="14"/>
      <c r="L5" s="14">
        <f t="shared" si="0"/>
        <v>4</v>
      </c>
      <c r="M5" s="14">
        <f>YEAR(Tabla1[[#This Row],[FECHA]])</f>
        <v>2025</v>
      </c>
    </row>
    <row r="6" spans="1:13" ht="30" x14ac:dyDescent="0.25">
      <c r="A6" s="15">
        <v>45754</v>
      </c>
      <c r="B6" s="14" t="s">
        <v>11</v>
      </c>
      <c r="C6" s="14" t="s">
        <v>37</v>
      </c>
      <c r="D6" s="14">
        <v>7</v>
      </c>
      <c r="E6" s="13" t="s">
        <v>38</v>
      </c>
      <c r="F6" s="66" t="s">
        <v>39</v>
      </c>
      <c r="G6" s="17"/>
      <c r="H6" s="17"/>
      <c r="I6" s="55"/>
      <c r="J6" s="18"/>
      <c r="K6" s="14"/>
      <c r="L6" s="14">
        <f t="shared" si="0"/>
        <v>4</v>
      </c>
      <c r="M6" s="14">
        <f>YEAR(Tabla1[[#This Row],[FECHA]])</f>
        <v>2025</v>
      </c>
    </row>
    <row r="7" spans="1:13" ht="30" hidden="1" x14ac:dyDescent="0.25">
      <c r="A7" s="15">
        <v>45757</v>
      </c>
      <c r="B7" s="14" t="s">
        <v>3</v>
      </c>
      <c r="C7" s="14" t="s">
        <v>40</v>
      </c>
      <c r="D7" s="14">
        <v>8</v>
      </c>
      <c r="E7" s="13" t="s">
        <v>41</v>
      </c>
      <c r="F7" s="66" t="s">
        <v>42</v>
      </c>
      <c r="G7" s="17"/>
      <c r="H7" s="17"/>
      <c r="I7" s="55"/>
      <c r="J7" s="18"/>
      <c r="K7" s="14"/>
      <c r="L7" s="14">
        <f t="shared" si="0"/>
        <v>4</v>
      </c>
      <c r="M7" s="14">
        <f>YEAR(Tabla1[[#This Row],[FECHA]])</f>
        <v>2025</v>
      </c>
    </row>
    <row r="8" spans="1:13" hidden="1" x14ac:dyDescent="0.25">
      <c r="A8" s="15">
        <v>45758</v>
      </c>
      <c r="B8" s="14" t="s">
        <v>7</v>
      </c>
      <c r="C8" s="14" t="s">
        <v>27</v>
      </c>
      <c r="D8" s="14">
        <v>53</v>
      </c>
      <c r="E8" s="13" t="s">
        <v>43</v>
      </c>
      <c r="F8" s="66" t="s">
        <v>44</v>
      </c>
      <c r="G8" s="17"/>
      <c r="H8" s="17"/>
      <c r="I8" s="55"/>
      <c r="J8" s="18"/>
      <c r="K8" s="14"/>
      <c r="L8" s="14">
        <f t="shared" si="0"/>
        <v>4</v>
      </c>
      <c r="M8" s="14">
        <f>YEAR(Tabla1[[#This Row],[FECHA]])</f>
        <v>2025</v>
      </c>
    </row>
    <row r="9" spans="1:13" hidden="1" x14ac:dyDescent="0.25">
      <c r="A9" s="15">
        <v>45759</v>
      </c>
      <c r="B9" s="14" t="s">
        <v>6</v>
      </c>
      <c r="C9" s="14" t="s">
        <v>45</v>
      </c>
      <c r="D9" s="14">
        <v>5</v>
      </c>
      <c r="E9" s="13" t="s">
        <v>46</v>
      </c>
      <c r="F9" s="66" t="s">
        <v>47</v>
      </c>
      <c r="G9" s="17"/>
      <c r="H9" s="17"/>
      <c r="I9" s="55"/>
      <c r="J9" s="18"/>
      <c r="K9" s="14"/>
      <c r="L9" s="14">
        <f t="shared" si="0"/>
        <v>4</v>
      </c>
      <c r="M9" s="14">
        <f>YEAR(Tabla1[[#This Row],[FECHA]])</f>
        <v>2025</v>
      </c>
    </row>
    <row r="10" spans="1:13" hidden="1" x14ac:dyDescent="0.25">
      <c r="A10" s="15">
        <v>45762</v>
      </c>
      <c r="B10" s="14" t="s">
        <v>6</v>
      </c>
      <c r="C10" s="14" t="s">
        <v>48</v>
      </c>
      <c r="D10" s="14">
        <v>1</v>
      </c>
      <c r="E10" s="13" t="s">
        <v>49</v>
      </c>
      <c r="F10" s="66"/>
      <c r="G10" s="17"/>
      <c r="H10" s="17"/>
      <c r="I10" s="55"/>
      <c r="J10" s="18"/>
      <c r="K10" s="14"/>
      <c r="L10" s="14">
        <f t="shared" si="0"/>
        <v>4</v>
      </c>
      <c r="M10" s="14">
        <f>YEAR(Tabla1[[#This Row],[FECHA]])</f>
        <v>2025</v>
      </c>
    </row>
    <row r="11" spans="1:13" hidden="1" x14ac:dyDescent="0.25">
      <c r="A11" s="15">
        <v>45764</v>
      </c>
      <c r="B11" s="14" t="s">
        <v>10</v>
      </c>
      <c r="C11" s="14" t="s">
        <v>40</v>
      </c>
      <c r="D11" s="14">
        <v>6</v>
      </c>
      <c r="E11" s="13" t="s">
        <v>50</v>
      </c>
      <c r="F11" s="66" t="s">
        <v>51</v>
      </c>
      <c r="G11" s="17"/>
      <c r="H11" s="17"/>
      <c r="I11" s="55"/>
      <c r="J11" s="18"/>
      <c r="K11" s="14"/>
      <c r="L11" s="14">
        <f t="shared" si="0"/>
        <v>4</v>
      </c>
      <c r="M11" s="14">
        <f>YEAR(Tabla1[[#This Row],[FECHA]])</f>
        <v>2025</v>
      </c>
    </row>
    <row r="12" spans="1:13" hidden="1" x14ac:dyDescent="0.25">
      <c r="A12" s="15">
        <v>45765</v>
      </c>
      <c r="B12" s="14" t="s">
        <v>10</v>
      </c>
      <c r="C12" s="14" t="s">
        <v>48</v>
      </c>
      <c r="D12" s="14">
        <v>80</v>
      </c>
      <c r="E12" s="13" t="s">
        <v>52</v>
      </c>
      <c r="F12" s="66" t="s">
        <v>53</v>
      </c>
      <c r="G12" s="17"/>
      <c r="H12" s="17"/>
      <c r="I12" s="55">
        <v>44070</v>
      </c>
      <c r="J12" s="18"/>
      <c r="K12" s="14"/>
      <c r="L12" s="14">
        <f t="shared" si="0"/>
        <v>4</v>
      </c>
      <c r="M12" s="14">
        <f>YEAR(Tabla1[[#This Row],[FECHA]])</f>
        <v>2025</v>
      </c>
    </row>
    <row r="13" spans="1:13" x14ac:dyDescent="0.25">
      <c r="A13" s="15">
        <v>45765</v>
      </c>
      <c r="B13" s="14" t="s">
        <v>11</v>
      </c>
      <c r="C13" s="14" t="s">
        <v>54</v>
      </c>
      <c r="D13" s="14">
        <v>5</v>
      </c>
      <c r="E13" s="13" t="s">
        <v>55</v>
      </c>
      <c r="F13" s="66" t="s">
        <v>56</v>
      </c>
      <c r="G13" s="17"/>
      <c r="H13" s="17"/>
      <c r="I13" s="55"/>
      <c r="J13" s="18"/>
      <c r="K13" s="14"/>
      <c r="L13" s="14">
        <f t="shared" si="0"/>
        <v>4</v>
      </c>
      <c r="M13" s="14">
        <f>YEAR(Tabla1[[#This Row],[FECHA]])</f>
        <v>2025</v>
      </c>
    </row>
    <row r="14" spans="1:13" hidden="1" x14ac:dyDescent="0.25">
      <c r="A14" s="15">
        <v>45765</v>
      </c>
      <c r="B14" s="14" t="s">
        <v>5</v>
      </c>
      <c r="C14" s="14" t="s">
        <v>40</v>
      </c>
      <c r="D14" s="14">
        <v>5</v>
      </c>
      <c r="E14" s="13" t="s">
        <v>57</v>
      </c>
      <c r="F14" s="66" t="s">
        <v>58</v>
      </c>
      <c r="G14" s="17"/>
      <c r="H14" s="17"/>
      <c r="I14" s="55"/>
      <c r="J14" s="18"/>
      <c r="K14" s="14"/>
      <c r="L14" s="14">
        <f t="shared" si="0"/>
        <v>4</v>
      </c>
      <c r="M14" s="14">
        <f>YEAR(Tabla1[[#This Row],[FECHA]])</f>
        <v>2025</v>
      </c>
    </row>
    <row r="15" spans="1:13" hidden="1" x14ac:dyDescent="0.25">
      <c r="A15" s="15">
        <v>45768</v>
      </c>
      <c r="B15" s="14" t="s">
        <v>6</v>
      </c>
      <c r="C15" s="14" t="s">
        <v>48</v>
      </c>
      <c r="D15" s="14">
        <v>2</v>
      </c>
      <c r="E15" s="13" t="s">
        <v>59</v>
      </c>
      <c r="F15" s="66"/>
      <c r="G15" s="17"/>
      <c r="H15" s="17"/>
      <c r="I15" s="55"/>
      <c r="J15" s="18"/>
      <c r="K15" s="14"/>
      <c r="L15" s="14">
        <f t="shared" si="0"/>
        <v>4</v>
      </c>
      <c r="M15" s="14">
        <f>YEAR(Tabla1[[#This Row],[FECHA]])</f>
        <v>2025</v>
      </c>
    </row>
    <row r="16" spans="1:13" x14ac:dyDescent="0.25">
      <c r="A16" s="15">
        <v>45769</v>
      </c>
      <c r="B16" s="14" t="s">
        <v>11</v>
      </c>
      <c r="C16" s="14" t="s">
        <v>30</v>
      </c>
      <c r="D16" s="14">
        <v>2</v>
      </c>
      <c r="E16" s="13" t="s">
        <v>60</v>
      </c>
      <c r="F16" s="66" t="s">
        <v>32</v>
      </c>
      <c r="G16" s="17"/>
      <c r="H16" s="17"/>
      <c r="I16" s="55"/>
      <c r="J16" s="18"/>
      <c r="K16" s="14"/>
      <c r="L16" s="14">
        <f t="shared" si="0"/>
        <v>4</v>
      </c>
      <c r="M16" s="14">
        <f>YEAR(Tabla1[[#This Row],[FECHA]])</f>
        <v>2025</v>
      </c>
    </row>
    <row r="17" spans="1:13" hidden="1" x14ac:dyDescent="0.25">
      <c r="A17" s="15">
        <v>45771</v>
      </c>
      <c r="B17" s="14" t="s">
        <v>10</v>
      </c>
      <c r="C17" s="14" t="s">
        <v>61</v>
      </c>
      <c r="D17" s="14">
        <v>24</v>
      </c>
      <c r="E17" s="13" t="s">
        <v>62</v>
      </c>
      <c r="F17" s="66" t="s">
        <v>63</v>
      </c>
      <c r="G17" s="17"/>
      <c r="H17" s="17"/>
      <c r="I17" s="55"/>
      <c r="J17" s="18"/>
      <c r="K17" s="14"/>
      <c r="L17" s="14">
        <f t="shared" si="0"/>
        <v>4</v>
      </c>
      <c r="M17" s="14">
        <f>YEAR(Tabla1[[#This Row],[FECHA]])</f>
        <v>2025</v>
      </c>
    </row>
    <row r="18" spans="1:13" x14ac:dyDescent="0.25">
      <c r="A18" s="15">
        <v>45771</v>
      </c>
      <c r="B18" s="14" t="s">
        <v>11</v>
      </c>
      <c r="C18" s="14" t="s">
        <v>61</v>
      </c>
      <c r="D18" s="14">
        <v>4</v>
      </c>
      <c r="E18" s="13" t="s">
        <v>64</v>
      </c>
      <c r="F18" s="66"/>
      <c r="G18" s="17"/>
      <c r="H18" s="17"/>
      <c r="I18" s="55"/>
      <c r="J18" s="18"/>
      <c r="K18" s="14"/>
      <c r="L18" s="14">
        <f t="shared" si="0"/>
        <v>4</v>
      </c>
      <c r="M18" s="14">
        <f>YEAR(Tabla1[[#This Row],[FECHA]])</f>
        <v>2025</v>
      </c>
    </row>
    <row r="19" spans="1:13" hidden="1" x14ac:dyDescent="0.25">
      <c r="A19" s="15">
        <v>45774</v>
      </c>
      <c r="B19" s="14" t="s">
        <v>10</v>
      </c>
      <c r="C19" s="14" t="s">
        <v>48</v>
      </c>
      <c r="D19" s="14">
        <v>3</v>
      </c>
      <c r="E19" s="13" t="s">
        <v>65</v>
      </c>
      <c r="F19" s="66" t="s">
        <v>66</v>
      </c>
      <c r="G19" s="17"/>
      <c r="H19" s="17"/>
      <c r="I19" s="55">
        <v>44110</v>
      </c>
      <c r="J19" s="18"/>
      <c r="K19" s="14"/>
      <c r="L19" s="14">
        <f t="shared" si="0"/>
        <v>4</v>
      </c>
      <c r="M19" s="14">
        <f>YEAR(Tabla1[[#This Row],[FECHA]])</f>
        <v>2025</v>
      </c>
    </row>
    <row r="20" spans="1:13" x14ac:dyDescent="0.25">
      <c r="A20" s="15">
        <v>45774</v>
      </c>
      <c r="B20" s="14" t="s">
        <v>11</v>
      </c>
      <c r="C20" s="14" t="s">
        <v>54</v>
      </c>
      <c r="D20" s="14">
        <v>4</v>
      </c>
      <c r="E20" s="13" t="s">
        <v>67</v>
      </c>
      <c r="F20" s="66"/>
      <c r="G20" s="17"/>
      <c r="H20" s="17"/>
      <c r="I20" s="55"/>
      <c r="J20" s="18"/>
      <c r="K20" s="14"/>
      <c r="L20" s="14">
        <f t="shared" si="0"/>
        <v>4</v>
      </c>
      <c r="M20" s="14">
        <f>YEAR(Tabla1[[#This Row],[FECHA]])</f>
        <v>2025</v>
      </c>
    </row>
    <row r="21" spans="1:13" x14ac:dyDescent="0.25">
      <c r="A21" s="15">
        <v>45775</v>
      </c>
      <c r="B21" s="14" t="s">
        <v>11</v>
      </c>
      <c r="C21" s="14" t="s">
        <v>30</v>
      </c>
      <c r="D21" s="14">
        <v>3</v>
      </c>
      <c r="E21" s="13" t="s">
        <v>68</v>
      </c>
      <c r="F21" s="66"/>
      <c r="G21" s="17"/>
      <c r="H21" s="17"/>
      <c r="I21" s="55"/>
      <c r="J21" s="18"/>
      <c r="K21" s="14"/>
      <c r="L21" s="14">
        <f t="shared" si="0"/>
        <v>4</v>
      </c>
      <c r="M21" s="14">
        <f>YEAR(Tabla1[[#This Row],[FECHA]])</f>
        <v>2025</v>
      </c>
    </row>
    <row r="22" spans="1:13" x14ac:dyDescent="0.25">
      <c r="A22" s="15">
        <v>45777</v>
      </c>
      <c r="B22" s="14" t="s">
        <v>11</v>
      </c>
      <c r="C22" s="14" t="s">
        <v>45</v>
      </c>
      <c r="D22" s="14">
        <v>1</v>
      </c>
      <c r="E22" s="13" t="s">
        <v>69</v>
      </c>
      <c r="F22" s="66" t="s">
        <v>70</v>
      </c>
      <c r="G22" s="17"/>
      <c r="H22" s="17"/>
      <c r="I22" s="55"/>
      <c r="J22" s="18"/>
      <c r="K22" s="14"/>
      <c r="L22" s="14">
        <f t="shared" si="0"/>
        <v>4</v>
      </c>
      <c r="M22" s="14">
        <f>YEAR(Tabla1[[#This Row],[FECHA]])</f>
        <v>2025</v>
      </c>
    </row>
    <row r="23" spans="1:13" ht="75" hidden="1" x14ac:dyDescent="0.25">
      <c r="A23" s="15">
        <v>45778</v>
      </c>
      <c r="B23" s="14" t="s">
        <v>6</v>
      </c>
      <c r="C23" s="14" t="s">
        <v>40</v>
      </c>
      <c r="D23" s="14">
        <v>432</v>
      </c>
      <c r="E23" s="13" t="s">
        <v>71</v>
      </c>
      <c r="F23" s="67" t="s">
        <v>72</v>
      </c>
      <c r="G23" s="51"/>
      <c r="H23" s="51"/>
      <c r="I23" s="56"/>
      <c r="J23" s="18"/>
      <c r="K23" s="14"/>
      <c r="L23" s="14">
        <f t="shared" si="0"/>
        <v>5</v>
      </c>
      <c r="M23" s="14">
        <f>YEAR(Tabla1[[#This Row],[FECHA]])</f>
        <v>2025</v>
      </c>
    </row>
    <row r="24" spans="1:13" ht="30" x14ac:dyDescent="0.25">
      <c r="A24" s="15">
        <v>45782</v>
      </c>
      <c r="B24" s="14" t="s">
        <v>11</v>
      </c>
      <c r="C24" s="14" t="s">
        <v>54</v>
      </c>
      <c r="D24" s="14">
        <v>4</v>
      </c>
      <c r="E24" s="13" t="s">
        <v>73</v>
      </c>
      <c r="F24" s="66" t="s">
        <v>74</v>
      </c>
      <c r="G24" s="17"/>
      <c r="H24" s="17"/>
      <c r="I24" s="55"/>
      <c r="J24" s="18"/>
      <c r="K24" s="14"/>
      <c r="L24" s="14">
        <f t="shared" si="0"/>
        <v>5</v>
      </c>
      <c r="M24" s="14">
        <f>YEAR(Tabla1[[#This Row],[FECHA]])</f>
        <v>2025</v>
      </c>
    </row>
    <row r="25" spans="1:13" ht="30" hidden="1" x14ac:dyDescent="0.25">
      <c r="A25" s="15">
        <v>45786</v>
      </c>
      <c r="B25" s="14" t="s">
        <v>8</v>
      </c>
      <c r="C25" s="14" t="s">
        <v>75</v>
      </c>
      <c r="D25" s="14">
        <v>3</v>
      </c>
      <c r="E25" s="13" t="s">
        <v>76</v>
      </c>
      <c r="F25" s="66"/>
      <c r="G25" s="17"/>
      <c r="H25" s="17"/>
      <c r="I25" s="55"/>
      <c r="J25" s="18"/>
      <c r="K25" s="14"/>
      <c r="L25" s="14">
        <f t="shared" si="0"/>
        <v>5</v>
      </c>
      <c r="M25" s="14">
        <f>YEAR(Tabla1[[#This Row],[FECHA]])</f>
        <v>2025</v>
      </c>
    </row>
    <row r="26" spans="1:13" ht="30" hidden="1" x14ac:dyDescent="0.25">
      <c r="A26" s="15">
        <v>45790</v>
      </c>
      <c r="B26" s="14" t="s">
        <v>10</v>
      </c>
      <c r="C26" s="14" t="s">
        <v>40</v>
      </c>
      <c r="D26" s="14">
        <v>3</v>
      </c>
      <c r="E26" s="13" t="s">
        <v>77</v>
      </c>
      <c r="F26" s="66"/>
      <c r="G26" s="17"/>
      <c r="H26" s="17"/>
      <c r="I26" s="55"/>
      <c r="J26" s="18"/>
      <c r="K26" s="14"/>
      <c r="L26" s="14">
        <f t="shared" si="0"/>
        <v>5</v>
      </c>
      <c r="M26" s="14">
        <f>YEAR(Tabla1[[#This Row],[FECHA]])</f>
        <v>2025</v>
      </c>
    </row>
    <row r="27" spans="1:13" ht="30" hidden="1" x14ac:dyDescent="0.25">
      <c r="A27" s="15">
        <v>45792</v>
      </c>
      <c r="B27" s="14" t="s">
        <v>9</v>
      </c>
      <c r="C27" s="14" t="s">
        <v>78</v>
      </c>
      <c r="D27" s="14">
        <v>1</v>
      </c>
      <c r="E27" s="13" t="s">
        <v>79</v>
      </c>
      <c r="F27" s="66" t="s">
        <v>80</v>
      </c>
      <c r="G27" s="17"/>
      <c r="H27" s="17"/>
      <c r="I27" s="55"/>
      <c r="J27" s="76"/>
      <c r="K27" s="14"/>
      <c r="L27" s="14">
        <f t="shared" si="0"/>
        <v>5</v>
      </c>
      <c r="M27" s="14">
        <f>YEAR(Tabla1[[#This Row],[FECHA]])</f>
        <v>2025</v>
      </c>
    </row>
    <row r="28" spans="1:13" hidden="1" x14ac:dyDescent="0.25">
      <c r="A28" s="15">
        <v>45792</v>
      </c>
      <c r="B28" s="14" t="s">
        <v>10</v>
      </c>
      <c r="C28" s="14" t="s">
        <v>54</v>
      </c>
      <c r="D28" s="14">
        <v>1</v>
      </c>
      <c r="E28" s="13" t="s">
        <v>81</v>
      </c>
      <c r="F28" s="66" t="s">
        <v>82</v>
      </c>
      <c r="G28" s="17"/>
      <c r="H28" s="17"/>
      <c r="I28" s="55"/>
      <c r="J28" s="18"/>
      <c r="K28" s="14"/>
      <c r="L28" s="14">
        <f t="shared" ref="L28:L107" si="1">MONTH(A28)</f>
        <v>5</v>
      </c>
      <c r="M28" s="14">
        <f>YEAR(Tabla1[[#This Row],[FECHA]])</f>
        <v>2025</v>
      </c>
    </row>
    <row r="29" spans="1:13" ht="30" hidden="1" x14ac:dyDescent="0.25">
      <c r="A29" s="15">
        <v>45796</v>
      </c>
      <c r="B29" s="14" t="s">
        <v>10</v>
      </c>
      <c r="C29" s="14" t="s">
        <v>48</v>
      </c>
      <c r="D29" s="14">
        <v>1</v>
      </c>
      <c r="E29" s="13" t="s">
        <v>83</v>
      </c>
      <c r="F29" s="66"/>
      <c r="G29" s="17"/>
      <c r="H29" s="17"/>
      <c r="I29" s="55">
        <v>44368</v>
      </c>
      <c r="J29" s="18"/>
      <c r="K29" s="14"/>
      <c r="L29" s="14">
        <f t="shared" si="1"/>
        <v>5</v>
      </c>
      <c r="M29" s="14">
        <f>YEAR(Tabla1[[#This Row],[FECHA]])</f>
        <v>2025</v>
      </c>
    </row>
    <row r="30" spans="1:13" ht="30" hidden="1" x14ac:dyDescent="0.25">
      <c r="A30" s="15">
        <v>45798</v>
      </c>
      <c r="B30" s="14" t="s">
        <v>3</v>
      </c>
      <c r="C30" s="14" t="s">
        <v>30</v>
      </c>
      <c r="D30" s="14">
        <v>3</v>
      </c>
      <c r="E30" s="13" t="s">
        <v>84</v>
      </c>
      <c r="F30" s="66" t="s">
        <v>85</v>
      </c>
      <c r="G30" s="17"/>
      <c r="H30" s="17"/>
      <c r="I30" s="55"/>
      <c r="J30" s="18"/>
      <c r="K30" s="14"/>
      <c r="L30" s="14">
        <f t="shared" si="1"/>
        <v>5</v>
      </c>
      <c r="M30" s="14">
        <f>YEAR(Tabla1[[#This Row],[FECHA]])</f>
        <v>2025</v>
      </c>
    </row>
    <row r="31" spans="1:13" ht="30" hidden="1" x14ac:dyDescent="0.25">
      <c r="A31" s="15">
        <v>45798</v>
      </c>
      <c r="B31" s="14" t="s">
        <v>10</v>
      </c>
      <c r="C31" s="14" t="s">
        <v>40</v>
      </c>
      <c r="D31" s="14">
        <v>1</v>
      </c>
      <c r="E31" s="13" t="s">
        <v>86</v>
      </c>
      <c r="F31" s="66"/>
      <c r="G31" s="17"/>
      <c r="H31" s="17"/>
      <c r="I31" s="55"/>
      <c r="J31" s="18"/>
      <c r="K31" s="14"/>
      <c r="L31" s="14">
        <f t="shared" si="1"/>
        <v>5</v>
      </c>
      <c r="M31" s="14">
        <f>YEAR(Tabla1[[#This Row],[FECHA]])</f>
        <v>2025</v>
      </c>
    </row>
    <row r="32" spans="1:13" ht="45" hidden="1" x14ac:dyDescent="0.25">
      <c r="A32" s="15">
        <v>45801</v>
      </c>
      <c r="B32" s="14" t="s">
        <v>5</v>
      </c>
      <c r="C32" s="14" t="s">
        <v>40</v>
      </c>
      <c r="D32" s="14">
        <v>41</v>
      </c>
      <c r="E32" s="13" t="s">
        <v>87</v>
      </c>
      <c r="F32" s="66"/>
      <c r="G32" s="17"/>
      <c r="H32" s="17"/>
      <c r="I32" s="55"/>
      <c r="J32" s="18"/>
      <c r="K32" s="14"/>
      <c r="L32" s="14">
        <f t="shared" si="1"/>
        <v>5</v>
      </c>
      <c r="M32" s="14">
        <f>YEAR(Tabla1[[#This Row],[FECHA]])</f>
        <v>2025</v>
      </c>
    </row>
    <row r="33" spans="1:13" ht="30" x14ac:dyDescent="0.25">
      <c r="A33" s="15">
        <v>45803</v>
      </c>
      <c r="B33" s="14" t="s">
        <v>11</v>
      </c>
      <c r="C33" s="14" t="s">
        <v>27</v>
      </c>
      <c r="D33" s="14">
        <v>6</v>
      </c>
      <c r="E33" s="13" t="s">
        <v>88</v>
      </c>
      <c r="F33" s="66" t="s">
        <v>89</v>
      </c>
      <c r="G33" s="17"/>
      <c r="H33" s="17"/>
      <c r="I33" s="55"/>
      <c r="J33" s="18"/>
      <c r="K33" s="14"/>
      <c r="L33" s="14">
        <f t="shared" si="1"/>
        <v>5</v>
      </c>
      <c r="M33" s="14">
        <f>YEAR(Tabla1[[#This Row],[FECHA]])</f>
        <v>2025</v>
      </c>
    </row>
    <row r="34" spans="1:13" hidden="1" x14ac:dyDescent="0.25">
      <c r="A34" s="15">
        <v>45804</v>
      </c>
      <c r="B34" s="14" t="s">
        <v>7</v>
      </c>
      <c r="C34" s="14" t="s">
        <v>78</v>
      </c>
      <c r="D34" s="14">
        <v>1</v>
      </c>
      <c r="E34" s="13" t="s">
        <v>90</v>
      </c>
      <c r="F34" s="66" t="s">
        <v>91</v>
      </c>
      <c r="G34" s="17"/>
      <c r="H34" s="17"/>
      <c r="I34" s="55">
        <v>17496</v>
      </c>
      <c r="J34" s="18">
        <v>120000</v>
      </c>
      <c r="K34" s="14"/>
      <c r="L34" s="14">
        <f>MONTH(A34)</f>
        <v>5</v>
      </c>
      <c r="M34" s="14">
        <f>YEAR(Tabla1[[#This Row],[FECHA]])</f>
        <v>2025</v>
      </c>
    </row>
    <row r="35" spans="1:13" ht="30" hidden="1" x14ac:dyDescent="0.25">
      <c r="A35" s="15">
        <v>45804</v>
      </c>
      <c r="B35" s="14" t="s">
        <v>5</v>
      </c>
      <c r="C35" s="14" t="s">
        <v>45</v>
      </c>
      <c r="D35" s="14">
        <v>10</v>
      </c>
      <c r="E35" s="13" t="s">
        <v>92</v>
      </c>
      <c r="F35" s="66" t="s">
        <v>93</v>
      </c>
      <c r="G35" s="17"/>
      <c r="H35" s="17"/>
      <c r="I35" s="55"/>
      <c r="J35" s="18"/>
      <c r="K35" s="14"/>
      <c r="L35" s="14">
        <f t="shared" si="1"/>
        <v>5</v>
      </c>
      <c r="M35" s="14">
        <f>YEAR(Tabla1[[#This Row],[FECHA]])</f>
        <v>2025</v>
      </c>
    </row>
    <row r="36" spans="1:13" ht="30" hidden="1" x14ac:dyDescent="0.25">
      <c r="A36" s="15">
        <v>45806</v>
      </c>
      <c r="B36" s="14" t="s">
        <v>10</v>
      </c>
      <c r="C36" s="14" t="s">
        <v>40</v>
      </c>
      <c r="D36" s="14">
        <v>24</v>
      </c>
      <c r="E36" s="13" t="s">
        <v>94</v>
      </c>
      <c r="F36" s="66" t="s">
        <v>95</v>
      </c>
      <c r="G36" s="17"/>
      <c r="H36" s="17"/>
      <c r="I36" s="55"/>
      <c r="J36" s="18"/>
      <c r="K36" s="14"/>
      <c r="L36" s="14">
        <f t="shared" si="1"/>
        <v>5</v>
      </c>
      <c r="M36" s="14">
        <f>YEAR(Tabla1[[#This Row],[FECHA]])</f>
        <v>2025</v>
      </c>
    </row>
    <row r="37" spans="1:13" ht="30" x14ac:dyDescent="0.25">
      <c r="A37" s="15">
        <v>45806</v>
      </c>
      <c r="B37" s="14" t="s">
        <v>11</v>
      </c>
      <c r="C37" s="14" t="s">
        <v>27</v>
      </c>
      <c r="D37" s="14">
        <v>3</v>
      </c>
      <c r="E37" s="13" t="s">
        <v>96</v>
      </c>
      <c r="F37" s="66"/>
      <c r="G37" s="17"/>
      <c r="H37" s="17"/>
      <c r="I37" s="55"/>
      <c r="J37" s="18"/>
      <c r="K37" s="14"/>
      <c r="L37" s="14">
        <f t="shared" si="1"/>
        <v>5</v>
      </c>
      <c r="M37" s="14">
        <f>YEAR(Tabla1[[#This Row],[FECHA]])</f>
        <v>2025</v>
      </c>
    </row>
    <row r="38" spans="1:13" ht="30" hidden="1" x14ac:dyDescent="0.25">
      <c r="A38" s="15">
        <v>45807</v>
      </c>
      <c r="B38" s="14" t="s">
        <v>6</v>
      </c>
      <c r="C38" s="14" t="s">
        <v>48</v>
      </c>
      <c r="D38" s="14">
        <v>7</v>
      </c>
      <c r="E38" s="13" t="s">
        <v>97</v>
      </c>
      <c r="F38" s="66" t="s">
        <v>98</v>
      </c>
      <c r="G38" s="17"/>
      <c r="H38" s="17"/>
      <c r="I38" s="55"/>
      <c r="J38" s="18"/>
      <c r="K38" s="14"/>
      <c r="L38" s="14">
        <f t="shared" si="1"/>
        <v>5</v>
      </c>
      <c r="M38" s="14">
        <f>YEAR(Tabla1[[#This Row],[FECHA]])</f>
        <v>2025</v>
      </c>
    </row>
    <row r="39" spans="1:13" hidden="1" x14ac:dyDescent="0.25">
      <c r="A39" s="15">
        <v>45804</v>
      </c>
      <c r="C39" s="14" t="s">
        <v>78</v>
      </c>
      <c r="D39" s="14">
        <v>1</v>
      </c>
      <c r="E39" s="13" t="s">
        <v>99</v>
      </c>
      <c r="F39" s="66" t="s">
        <v>80</v>
      </c>
      <c r="G39" s="17"/>
      <c r="H39" s="17"/>
      <c r="I39" s="55"/>
      <c r="J39" s="18"/>
      <c r="K39" s="14"/>
      <c r="L39" s="14">
        <f t="shared" si="1"/>
        <v>5</v>
      </c>
      <c r="M39" s="14">
        <f>YEAR(Tabla1[[#This Row],[FECHA]])</f>
        <v>2025</v>
      </c>
    </row>
    <row r="40" spans="1:13" ht="30" hidden="1" x14ac:dyDescent="0.25">
      <c r="A40" s="15">
        <v>45811</v>
      </c>
      <c r="B40" s="14" t="s">
        <v>9</v>
      </c>
      <c r="C40" s="14" t="s">
        <v>54</v>
      </c>
      <c r="D40" s="14">
        <v>3</v>
      </c>
      <c r="E40" s="13" t="s">
        <v>100</v>
      </c>
      <c r="F40" s="66" t="s">
        <v>101</v>
      </c>
      <c r="G40" s="17"/>
      <c r="H40" s="17"/>
      <c r="I40" s="55"/>
      <c r="J40" s="76"/>
      <c r="K40" s="14"/>
      <c r="L40" s="14">
        <f t="shared" si="1"/>
        <v>6</v>
      </c>
      <c r="M40" s="14">
        <f>YEAR(Tabla1[[#This Row],[FECHA]])</f>
        <v>2025</v>
      </c>
    </row>
    <row r="41" spans="1:13" ht="30" hidden="1" x14ac:dyDescent="0.25">
      <c r="A41" s="15">
        <v>45811</v>
      </c>
      <c r="B41" s="14" t="s">
        <v>4</v>
      </c>
      <c r="C41" s="14" t="s">
        <v>48</v>
      </c>
      <c r="D41" s="14">
        <v>1</v>
      </c>
      <c r="E41" s="13" t="s">
        <v>102</v>
      </c>
      <c r="F41" s="66"/>
      <c r="G41" s="17"/>
      <c r="H41" s="17"/>
      <c r="I41" s="55"/>
      <c r="J41" s="18"/>
      <c r="K41" s="14"/>
      <c r="L41" s="14">
        <f t="shared" si="1"/>
        <v>6</v>
      </c>
      <c r="M41" s="14">
        <f>YEAR(Tabla1[[#This Row],[FECHA]])</f>
        <v>2025</v>
      </c>
    </row>
    <row r="42" spans="1:13" ht="30" hidden="1" x14ac:dyDescent="0.25">
      <c r="A42" s="15">
        <v>45812</v>
      </c>
      <c r="B42" s="14" t="s">
        <v>10</v>
      </c>
      <c r="C42" s="14" t="s">
        <v>61</v>
      </c>
      <c r="D42" s="14">
        <v>17</v>
      </c>
      <c r="E42" s="13" t="s">
        <v>103</v>
      </c>
      <c r="F42" s="66" t="s">
        <v>104</v>
      </c>
      <c r="G42" s="17"/>
      <c r="H42" s="17"/>
      <c r="I42" s="55"/>
      <c r="J42" s="18"/>
      <c r="K42" s="14"/>
      <c r="L42" s="14">
        <f t="shared" si="1"/>
        <v>6</v>
      </c>
      <c r="M42" s="14">
        <f>YEAR(Tabla1[[#This Row],[FECHA]])</f>
        <v>2025</v>
      </c>
    </row>
    <row r="43" spans="1:13" ht="30" hidden="1" x14ac:dyDescent="0.25">
      <c r="A43" s="15">
        <v>45813</v>
      </c>
      <c r="B43" s="14" t="s">
        <v>10</v>
      </c>
      <c r="C43" s="14" t="s">
        <v>27</v>
      </c>
      <c r="D43" s="14">
        <v>14</v>
      </c>
      <c r="E43" s="13" t="s">
        <v>105</v>
      </c>
      <c r="F43" s="66"/>
      <c r="G43" s="17"/>
      <c r="H43" s="17"/>
      <c r="I43" s="55"/>
      <c r="J43" s="18"/>
      <c r="K43" s="14"/>
      <c r="L43" s="14">
        <f t="shared" si="1"/>
        <v>6</v>
      </c>
      <c r="M43" s="14">
        <f>YEAR(Tabla1[[#This Row],[FECHA]])</f>
        <v>2025</v>
      </c>
    </row>
    <row r="44" spans="1:13" ht="30" hidden="1" x14ac:dyDescent="0.25">
      <c r="A44" s="15">
        <v>45814</v>
      </c>
      <c r="B44" s="14" t="s">
        <v>9</v>
      </c>
      <c r="C44" s="14" t="s">
        <v>37</v>
      </c>
      <c r="D44" s="14">
        <v>4</v>
      </c>
      <c r="E44" s="13" t="s">
        <v>106</v>
      </c>
      <c r="F44" s="66" t="s">
        <v>39</v>
      </c>
      <c r="G44" s="17"/>
      <c r="H44" s="17"/>
      <c r="I44" s="55">
        <v>13451</v>
      </c>
      <c r="J44" s="18"/>
      <c r="K44" s="14" t="s">
        <v>107</v>
      </c>
      <c r="L44" s="14">
        <f t="shared" si="1"/>
        <v>6</v>
      </c>
      <c r="M44" s="14">
        <f>YEAR(Tabla1[[#This Row],[FECHA]])</f>
        <v>2025</v>
      </c>
    </row>
    <row r="45" spans="1:13" ht="30" hidden="1" x14ac:dyDescent="0.25">
      <c r="A45" s="15">
        <v>45814</v>
      </c>
      <c r="B45" s="14" t="s">
        <v>7</v>
      </c>
      <c r="C45" s="14" t="s">
        <v>37</v>
      </c>
      <c r="D45" s="14">
        <v>4</v>
      </c>
      <c r="E45" s="13" t="s">
        <v>106</v>
      </c>
      <c r="F45" s="66" t="s">
        <v>39</v>
      </c>
      <c r="G45" s="17"/>
      <c r="H45" s="17"/>
      <c r="I45" s="55">
        <v>17647</v>
      </c>
      <c r="J45" s="18"/>
      <c r="K45" s="14" t="s">
        <v>107</v>
      </c>
      <c r="L45" s="14">
        <f t="shared" si="1"/>
        <v>6</v>
      </c>
      <c r="M45" s="14">
        <f>YEAR(Tabla1[[#This Row],[FECHA]])</f>
        <v>2025</v>
      </c>
    </row>
    <row r="46" spans="1:13" ht="30" x14ac:dyDescent="0.25">
      <c r="A46" s="15">
        <v>45815</v>
      </c>
      <c r="B46" s="14" t="s">
        <v>11</v>
      </c>
      <c r="C46" s="14" t="s">
        <v>37</v>
      </c>
      <c r="D46" s="14">
        <v>4</v>
      </c>
      <c r="E46" s="13" t="s">
        <v>106</v>
      </c>
      <c r="F46" s="66" t="s">
        <v>39</v>
      </c>
      <c r="G46" s="17"/>
      <c r="H46" s="17"/>
      <c r="I46" s="55">
        <v>43384</v>
      </c>
      <c r="J46" s="18"/>
      <c r="K46" s="14" t="s">
        <v>107</v>
      </c>
      <c r="L46" s="14">
        <f t="shared" si="1"/>
        <v>6</v>
      </c>
      <c r="M46" s="14">
        <f>YEAR(Tabla1[[#This Row],[FECHA]])</f>
        <v>2025</v>
      </c>
    </row>
    <row r="47" spans="1:13" ht="30" hidden="1" x14ac:dyDescent="0.25">
      <c r="A47" s="15">
        <v>45817</v>
      </c>
      <c r="B47" s="14" t="s">
        <v>5</v>
      </c>
      <c r="C47" s="14" t="s">
        <v>37</v>
      </c>
      <c r="D47" s="14">
        <v>4</v>
      </c>
      <c r="E47" s="13" t="s">
        <v>106</v>
      </c>
      <c r="F47" s="66" t="s">
        <v>108</v>
      </c>
      <c r="G47" s="17"/>
      <c r="H47" s="17"/>
      <c r="I47" s="55">
        <v>15219</v>
      </c>
      <c r="J47" s="18"/>
      <c r="K47" s="14" t="s">
        <v>107</v>
      </c>
      <c r="L47" s="14">
        <f t="shared" si="1"/>
        <v>6</v>
      </c>
      <c r="M47" s="14">
        <f>YEAR(Tabla1[[#This Row],[FECHA]])</f>
        <v>2025</v>
      </c>
    </row>
    <row r="48" spans="1:13" ht="30" hidden="1" x14ac:dyDescent="0.25">
      <c r="A48" s="15">
        <v>45820</v>
      </c>
      <c r="B48" s="14" t="s">
        <v>6</v>
      </c>
      <c r="C48" s="14" t="s">
        <v>61</v>
      </c>
      <c r="D48" s="14">
        <v>1</v>
      </c>
      <c r="E48" s="13" t="s">
        <v>109</v>
      </c>
      <c r="F48" s="66"/>
      <c r="G48" s="17"/>
      <c r="H48" s="17"/>
      <c r="I48" s="55"/>
      <c r="J48" s="18"/>
      <c r="K48" s="14"/>
      <c r="L48" s="14">
        <f t="shared" si="1"/>
        <v>6</v>
      </c>
      <c r="M48" s="14">
        <f>YEAR(Tabla1[[#This Row],[FECHA]])</f>
        <v>2025</v>
      </c>
    </row>
    <row r="49" spans="1:13" ht="30" hidden="1" x14ac:dyDescent="0.25">
      <c r="A49" s="15">
        <v>45821</v>
      </c>
      <c r="B49" s="14" t="s">
        <v>4</v>
      </c>
      <c r="C49" s="14" t="s">
        <v>110</v>
      </c>
      <c r="D49" s="14">
        <v>86</v>
      </c>
      <c r="E49" s="13" t="s">
        <v>111</v>
      </c>
      <c r="F49" s="66" t="s">
        <v>112</v>
      </c>
      <c r="G49" s="17" t="s">
        <v>113</v>
      </c>
      <c r="H49" s="17" t="s">
        <v>153</v>
      </c>
      <c r="I49" s="55"/>
      <c r="J49" s="73">
        <v>420000</v>
      </c>
      <c r="K49" s="14"/>
      <c r="L49" s="14">
        <f t="shared" si="1"/>
        <v>6</v>
      </c>
      <c r="M49" s="14">
        <f>YEAR(Tabla1[[#This Row],[FECHA]])</f>
        <v>2025</v>
      </c>
    </row>
    <row r="50" spans="1:13" ht="45" hidden="1" x14ac:dyDescent="0.25">
      <c r="A50" s="15">
        <v>45822</v>
      </c>
      <c r="B50" s="14" t="s">
        <v>3</v>
      </c>
      <c r="C50" s="14" t="s">
        <v>75</v>
      </c>
      <c r="D50" s="14">
        <v>6</v>
      </c>
      <c r="E50" s="13" t="s">
        <v>114</v>
      </c>
      <c r="F50" s="66"/>
      <c r="G50" s="17"/>
      <c r="H50" s="17"/>
      <c r="I50" s="55"/>
      <c r="J50" s="18"/>
      <c r="K50" s="14"/>
      <c r="L50" s="14">
        <f t="shared" si="1"/>
        <v>6</v>
      </c>
      <c r="M50" s="14">
        <f>YEAR(Tabla1[[#This Row],[FECHA]])</f>
        <v>2025</v>
      </c>
    </row>
    <row r="51" spans="1:13" hidden="1" x14ac:dyDescent="0.25">
      <c r="A51" s="15">
        <v>45827</v>
      </c>
      <c r="B51" s="14" t="s">
        <v>4</v>
      </c>
      <c r="C51" s="14" t="s">
        <v>54</v>
      </c>
      <c r="D51" s="14">
        <v>28</v>
      </c>
      <c r="E51" s="13" t="s">
        <v>115</v>
      </c>
      <c r="F51" s="66" t="s">
        <v>116</v>
      </c>
      <c r="G51" s="52" t="s">
        <v>117</v>
      </c>
      <c r="H51" s="52" t="s">
        <v>153</v>
      </c>
      <c r="I51" s="55"/>
      <c r="J51" s="73">
        <v>350000</v>
      </c>
      <c r="K51" s="14"/>
      <c r="L51" s="14">
        <f t="shared" si="1"/>
        <v>6</v>
      </c>
      <c r="M51" s="14">
        <f>YEAR(Tabla1[[#This Row],[FECHA]])</f>
        <v>2025</v>
      </c>
    </row>
    <row r="52" spans="1:13" ht="30" hidden="1" x14ac:dyDescent="0.25">
      <c r="A52" s="15">
        <v>45828</v>
      </c>
      <c r="B52" s="14" t="s">
        <v>10</v>
      </c>
      <c r="C52" s="14" t="s">
        <v>37</v>
      </c>
      <c r="D52" s="14">
        <v>4</v>
      </c>
      <c r="E52" s="13" t="s">
        <v>118</v>
      </c>
      <c r="F52" s="66" t="s">
        <v>39</v>
      </c>
      <c r="G52" s="17"/>
      <c r="H52" s="17"/>
      <c r="I52" s="55"/>
      <c r="J52" s="18"/>
      <c r="K52" s="14" t="s">
        <v>107</v>
      </c>
      <c r="L52" s="14">
        <f t="shared" si="1"/>
        <v>6</v>
      </c>
      <c r="M52" s="14">
        <f>YEAR(Tabla1[[#This Row],[FECHA]])</f>
        <v>2025</v>
      </c>
    </row>
    <row r="53" spans="1:13" ht="30" hidden="1" x14ac:dyDescent="0.25">
      <c r="A53" s="15">
        <v>45821</v>
      </c>
      <c r="B53" s="14" t="s">
        <v>10</v>
      </c>
      <c r="C53" s="14" t="s">
        <v>40</v>
      </c>
      <c r="D53" s="14">
        <v>40</v>
      </c>
      <c r="E53" s="13" t="s">
        <v>119</v>
      </c>
      <c r="F53" s="66" t="s">
        <v>120</v>
      </c>
      <c r="G53" s="17"/>
      <c r="H53" s="52" t="s">
        <v>153</v>
      </c>
      <c r="I53" s="55"/>
      <c r="J53" s="18">
        <v>873000</v>
      </c>
      <c r="K53" s="14"/>
      <c r="L53" s="14">
        <f t="shared" si="1"/>
        <v>6</v>
      </c>
      <c r="M53" s="14">
        <f>YEAR(Tabla1[[#This Row],[FECHA]])</f>
        <v>2025</v>
      </c>
    </row>
    <row r="54" spans="1:13" ht="30" hidden="1" x14ac:dyDescent="0.25">
      <c r="A54" s="15">
        <v>45833</v>
      </c>
      <c r="B54" s="14" t="s">
        <v>6</v>
      </c>
      <c r="C54" s="14" t="s">
        <v>37</v>
      </c>
      <c r="D54" s="14">
        <v>4</v>
      </c>
      <c r="E54" s="13" t="s">
        <v>118</v>
      </c>
      <c r="F54" s="66" t="s">
        <v>39</v>
      </c>
      <c r="G54" s="17"/>
      <c r="H54" s="17"/>
      <c r="I54" s="55">
        <v>37176</v>
      </c>
      <c r="J54" s="18"/>
      <c r="K54" s="14" t="s">
        <v>107</v>
      </c>
      <c r="L54" s="14">
        <f t="shared" si="1"/>
        <v>6</v>
      </c>
      <c r="M54" s="14">
        <f>YEAR(Tabla1[[#This Row],[FECHA]])</f>
        <v>2025</v>
      </c>
    </row>
    <row r="55" spans="1:13" ht="30" hidden="1" x14ac:dyDescent="0.25">
      <c r="A55" s="15">
        <v>45833</v>
      </c>
      <c r="B55" s="14" t="s">
        <v>8</v>
      </c>
      <c r="C55" s="14" t="s">
        <v>37</v>
      </c>
      <c r="D55" s="14">
        <v>4</v>
      </c>
      <c r="E55" s="13" t="s">
        <v>121</v>
      </c>
      <c r="F55" s="66" t="s">
        <v>108</v>
      </c>
      <c r="G55" s="17"/>
      <c r="H55" s="17"/>
      <c r="I55" s="55">
        <v>7233</v>
      </c>
      <c r="J55" s="18"/>
      <c r="K55" s="14" t="s">
        <v>107</v>
      </c>
      <c r="L55" s="14">
        <f t="shared" si="1"/>
        <v>6</v>
      </c>
      <c r="M55" s="14">
        <f>YEAR(Tabla1[[#This Row],[FECHA]])</f>
        <v>2025</v>
      </c>
    </row>
    <row r="56" spans="1:13" ht="30" hidden="1" x14ac:dyDescent="0.25">
      <c r="A56" s="15">
        <v>45834</v>
      </c>
      <c r="B56" s="14" t="s">
        <v>7</v>
      </c>
      <c r="C56" s="14" t="s">
        <v>37</v>
      </c>
      <c r="D56" s="14">
        <v>4</v>
      </c>
      <c r="E56" s="13" t="s">
        <v>118</v>
      </c>
      <c r="F56" s="66" t="s">
        <v>39</v>
      </c>
      <c r="G56" s="17"/>
      <c r="H56" s="17"/>
      <c r="I56" s="55">
        <v>17924</v>
      </c>
      <c r="J56" s="18"/>
      <c r="K56" s="14" t="s">
        <v>107</v>
      </c>
      <c r="L56" s="14">
        <f t="shared" si="1"/>
        <v>6</v>
      </c>
      <c r="M56" s="14">
        <f>YEAR(Tabla1[[#This Row],[FECHA]])</f>
        <v>2025</v>
      </c>
    </row>
    <row r="57" spans="1:13" ht="30" hidden="1" x14ac:dyDescent="0.25">
      <c r="A57" s="15">
        <v>45842</v>
      </c>
      <c r="B57" s="14" t="s">
        <v>5</v>
      </c>
      <c r="C57" s="14" t="s">
        <v>37</v>
      </c>
      <c r="D57" s="14">
        <v>4</v>
      </c>
      <c r="E57" s="13" t="s">
        <v>118</v>
      </c>
      <c r="F57" s="66" t="s">
        <v>122</v>
      </c>
      <c r="G57" s="17"/>
      <c r="H57" s="17"/>
      <c r="I57" s="55">
        <v>15468</v>
      </c>
      <c r="J57" s="18"/>
      <c r="K57" s="14" t="s">
        <v>107</v>
      </c>
      <c r="L57" s="14">
        <f>MONTH(A57)</f>
        <v>7</v>
      </c>
      <c r="M57" s="14">
        <f>YEAR(Tabla1[[#This Row],[FECHA]])</f>
        <v>2025</v>
      </c>
    </row>
    <row r="58" spans="1:13" ht="30" hidden="1" x14ac:dyDescent="0.25">
      <c r="A58" s="15">
        <v>45842</v>
      </c>
      <c r="B58" s="14" t="s">
        <v>10</v>
      </c>
      <c r="C58" s="14" t="s">
        <v>54</v>
      </c>
      <c r="D58" s="14">
        <v>6</v>
      </c>
      <c r="E58" s="13" t="s">
        <v>123</v>
      </c>
      <c r="F58" s="66" t="s">
        <v>124</v>
      </c>
      <c r="G58" s="17"/>
      <c r="H58" s="52" t="s">
        <v>153</v>
      </c>
      <c r="I58" s="55">
        <v>44530</v>
      </c>
      <c r="J58" s="18">
        <v>650000</v>
      </c>
      <c r="K58" s="14"/>
      <c r="L58" s="14">
        <f t="shared" si="1"/>
        <v>7</v>
      </c>
      <c r="M58" s="14">
        <f>YEAR(Tabla1[[#This Row],[FECHA]])</f>
        <v>2025</v>
      </c>
    </row>
    <row r="59" spans="1:13" ht="30" hidden="1" x14ac:dyDescent="0.25">
      <c r="A59" s="15">
        <v>45843</v>
      </c>
      <c r="B59" s="14" t="s">
        <v>9</v>
      </c>
      <c r="C59" s="14" t="s">
        <v>37</v>
      </c>
      <c r="D59" s="14">
        <v>4</v>
      </c>
      <c r="E59" s="13" t="s">
        <v>118</v>
      </c>
      <c r="F59" s="66" t="s">
        <v>122</v>
      </c>
      <c r="G59" s="17"/>
      <c r="H59" s="17"/>
      <c r="I59" s="55">
        <v>13710</v>
      </c>
      <c r="J59" s="18"/>
      <c r="K59" s="14" t="s">
        <v>107</v>
      </c>
      <c r="L59" s="14">
        <f>MONTH(A59)</f>
        <v>7</v>
      </c>
      <c r="M59" s="14">
        <f>YEAR(Tabla1[[#This Row],[FECHA]])</f>
        <v>2025</v>
      </c>
    </row>
    <row r="60" spans="1:13" ht="30" x14ac:dyDescent="0.25">
      <c r="A60" s="15">
        <v>45843</v>
      </c>
      <c r="B60" s="14" t="s">
        <v>11</v>
      </c>
      <c r="C60" s="14" t="s">
        <v>37</v>
      </c>
      <c r="D60" s="14">
        <v>4</v>
      </c>
      <c r="E60" s="13" t="s">
        <v>118</v>
      </c>
      <c r="F60" s="66" t="s">
        <v>122</v>
      </c>
      <c r="G60" s="17"/>
      <c r="H60" s="17"/>
      <c r="I60" s="55">
        <v>43631</v>
      </c>
      <c r="J60" s="18"/>
      <c r="K60" s="14" t="s">
        <v>107</v>
      </c>
      <c r="L60" s="14">
        <f>MONTH(A60)</f>
        <v>7</v>
      </c>
      <c r="M60" s="14">
        <f>YEAR(Tabla1[[#This Row],[FECHA]])</f>
        <v>2025</v>
      </c>
    </row>
    <row r="61" spans="1:13" hidden="1" x14ac:dyDescent="0.25">
      <c r="A61" s="15">
        <v>45849</v>
      </c>
      <c r="B61" s="14" t="s">
        <v>6</v>
      </c>
      <c r="C61" s="14" t="s">
        <v>110</v>
      </c>
      <c r="D61" s="14">
        <v>2</v>
      </c>
      <c r="E61" s="13" t="s">
        <v>125</v>
      </c>
      <c r="F61" s="66" t="s">
        <v>126</v>
      </c>
      <c r="G61" s="17"/>
      <c r="H61" s="17" t="s">
        <v>153</v>
      </c>
      <c r="I61" s="55">
        <v>37231</v>
      </c>
      <c r="J61" s="18">
        <v>60000</v>
      </c>
      <c r="K61" s="14"/>
      <c r="L61" s="14">
        <f t="shared" si="1"/>
        <v>7</v>
      </c>
      <c r="M61" s="14">
        <f>YEAR(Tabla1[[#This Row],[FECHA]])</f>
        <v>2025</v>
      </c>
    </row>
    <row r="62" spans="1:13" hidden="1" x14ac:dyDescent="0.25">
      <c r="A62" s="15">
        <v>45849</v>
      </c>
      <c r="B62" s="14" t="s">
        <v>6</v>
      </c>
      <c r="C62" s="14" t="s">
        <v>27</v>
      </c>
      <c r="D62" s="14">
        <v>3</v>
      </c>
      <c r="E62" s="13" t="s">
        <v>127</v>
      </c>
      <c r="F62" s="66" t="s">
        <v>128</v>
      </c>
      <c r="G62" s="17"/>
      <c r="H62" s="17" t="s">
        <v>153</v>
      </c>
      <c r="I62" s="55">
        <v>37231</v>
      </c>
      <c r="J62" s="18">
        <v>580000</v>
      </c>
      <c r="K62" s="14"/>
      <c r="L62" s="14">
        <f t="shared" si="1"/>
        <v>7</v>
      </c>
      <c r="M62" s="14">
        <f>YEAR(Tabla1[[#This Row],[FECHA]])</f>
        <v>2025</v>
      </c>
    </row>
    <row r="63" spans="1:13" ht="30" hidden="1" x14ac:dyDescent="0.25">
      <c r="A63" s="15">
        <v>45845</v>
      </c>
      <c r="B63" s="14" t="s">
        <v>3</v>
      </c>
      <c r="C63" s="14" t="s">
        <v>54</v>
      </c>
      <c r="D63" s="14">
        <v>52</v>
      </c>
      <c r="E63" s="13" t="s">
        <v>129</v>
      </c>
      <c r="F63" s="66" t="s">
        <v>130</v>
      </c>
      <c r="G63" s="17"/>
      <c r="H63" s="17" t="s">
        <v>153</v>
      </c>
      <c r="I63" s="55">
        <v>6373</v>
      </c>
      <c r="J63" s="18">
        <v>915000</v>
      </c>
      <c r="K63" s="14"/>
      <c r="L63" s="14">
        <f t="shared" si="1"/>
        <v>7</v>
      </c>
      <c r="M63" s="14">
        <f>YEAR(Tabla1[[#This Row],[FECHA]])</f>
        <v>2025</v>
      </c>
    </row>
    <row r="64" spans="1:13" x14ac:dyDescent="0.25">
      <c r="A64" s="15">
        <v>45847</v>
      </c>
      <c r="B64" s="14" t="s">
        <v>11</v>
      </c>
      <c r="C64" s="14" t="s">
        <v>48</v>
      </c>
      <c r="D64" s="14">
        <v>1</v>
      </c>
      <c r="E64" s="13" t="s">
        <v>131</v>
      </c>
      <c r="F64" s="66"/>
      <c r="G64" s="17"/>
      <c r="H64" s="17"/>
      <c r="I64" s="55">
        <v>43631</v>
      </c>
      <c r="J64" s="18"/>
      <c r="K64" s="14"/>
      <c r="L64" s="14">
        <f t="shared" si="1"/>
        <v>7</v>
      </c>
      <c r="M64" s="14">
        <f>YEAR(Tabla1[[#This Row],[FECHA]])</f>
        <v>2025</v>
      </c>
    </row>
    <row r="65" spans="1:13" ht="30" hidden="1" x14ac:dyDescent="0.25">
      <c r="A65" s="15">
        <v>45847</v>
      </c>
      <c r="B65" s="14" t="s">
        <v>7</v>
      </c>
      <c r="C65" s="14" t="s">
        <v>61</v>
      </c>
      <c r="D65" s="14">
        <v>3</v>
      </c>
      <c r="E65" s="13" t="s">
        <v>132</v>
      </c>
      <c r="F65" s="66"/>
      <c r="G65" s="17"/>
      <c r="H65" s="17"/>
      <c r="I65" s="55">
        <v>18128</v>
      </c>
      <c r="J65" s="18"/>
      <c r="K65" s="14"/>
      <c r="L65" s="14">
        <f t="shared" si="1"/>
        <v>7</v>
      </c>
      <c r="M65" s="14">
        <f>YEAR(Tabla1[[#This Row],[FECHA]])</f>
        <v>2025</v>
      </c>
    </row>
    <row r="66" spans="1:13" ht="30" hidden="1" x14ac:dyDescent="0.25">
      <c r="A66" s="15">
        <v>45854</v>
      </c>
      <c r="B66" s="14" t="s">
        <v>7</v>
      </c>
      <c r="C66" s="14" t="s">
        <v>37</v>
      </c>
      <c r="D66" s="14">
        <v>4</v>
      </c>
      <c r="E66" s="13" t="s">
        <v>118</v>
      </c>
      <c r="F66" s="66" t="s">
        <v>122</v>
      </c>
      <c r="G66" s="17"/>
      <c r="H66" s="17"/>
      <c r="I66" s="55">
        <v>18219</v>
      </c>
      <c r="J66" s="18"/>
      <c r="K66" s="14" t="s">
        <v>107</v>
      </c>
      <c r="L66" s="14">
        <f>MONTH(A66)</f>
        <v>7</v>
      </c>
      <c r="M66" s="14">
        <f>YEAR(Tabla1[[#This Row],[FECHA]])</f>
        <v>2025</v>
      </c>
    </row>
    <row r="67" spans="1:13" ht="30" hidden="1" x14ac:dyDescent="0.25">
      <c r="A67" s="15">
        <v>45854</v>
      </c>
      <c r="B67" s="14" t="s">
        <v>10</v>
      </c>
      <c r="C67" s="14" t="s">
        <v>37</v>
      </c>
      <c r="D67" s="14">
        <v>4</v>
      </c>
      <c r="E67" s="13" t="s">
        <v>118</v>
      </c>
      <c r="F67" s="66" t="s">
        <v>122</v>
      </c>
      <c r="G67" s="17"/>
      <c r="H67" s="17"/>
      <c r="I67" s="55">
        <v>44662</v>
      </c>
      <c r="J67" s="18"/>
      <c r="K67" s="14" t="s">
        <v>107</v>
      </c>
      <c r="L67" s="14">
        <f>MONTH(A67)</f>
        <v>7</v>
      </c>
      <c r="M67" s="14">
        <f>YEAR(Tabla1[[#This Row],[FECHA]])</f>
        <v>2025</v>
      </c>
    </row>
    <row r="68" spans="1:13" ht="30" hidden="1" x14ac:dyDescent="0.25">
      <c r="A68" s="15">
        <v>45855</v>
      </c>
      <c r="B68" s="14" t="s">
        <v>10</v>
      </c>
      <c r="C68" s="14" t="s">
        <v>48</v>
      </c>
      <c r="D68" s="14">
        <v>6</v>
      </c>
      <c r="E68" s="13" t="s">
        <v>133</v>
      </c>
      <c r="F68" s="66" t="s">
        <v>134</v>
      </c>
      <c r="G68" s="17"/>
      <c r="H68" s="52" t="s">
        <v>153</v>
      </c>
      <c r="I68" s="55">
        <v>44674</v>
      </c>
      <c r="J68" s="18">
        <v>120000</v>
      </c>
      <c r="K68" s="14"/>
      <c r="L68" s="14">
        <f t="shared" si="1"/>
        <v>7</v>
      </c>
      <c r="M68" s="14">
        <f>YEAR(Tabla1[[#This Row],[FECHA]])</f>
        <v>2025</v>
      </c>
    </row>
    <row r="69" spans="1:13" ht="30" x14ac:dyDescent="0.25">
      <c r="A69" s="15">
        <v>45856</v>
      </c>
      <c r="B69" s="14" t="s">
        <v>11</v>
      </c>
      <c r="C69" s="14" t="s">
        <v>30</v>
      </c>
      <c r="D69" s="14">
        <v>18</v>
      </c>
      <c r="E69" s="13" t="s">
        <v>135</v>
      </c>
      <c r="F69" s="66" t="s">
        <v>136</v>
      </c>
      <c r="G69" s="17" t="s">
        <v>137</v>
      </c>
      <c r="H69" s="17"/>
      <c r="I69" s="55">
        <v>43719</v>
      </c>
      <c r="J69" s="18">
        <v>3596000</v>
      </c>
      <c r="K69" s="14"/>
      <c r="L69" s="14">
        <f t="shared" si="1"/>
        <v>7</v>
      </c>
      <c r="M69" s="14">
        <f>YEAR(Tabla1[[#This Row],[FECHA]])</f>
        <v>2025</v>
      </c>
    </row>
    <row r="70" spans="1:13" x14ac:dyDescent="0.25">
      <c r="A70" s="15">
        <v>45856</v>
      </c>
      <c r="B70" s="14" t="s">
        <v>11</v>
      </c>
      <c r="C70" s="14" t="s">
        <v>30</v>
      </c>
      <c r="D70" s="14">
        <v>2</v>
      </c>
      <c r="E70" s="13" t="s">
        <v>138</v>
      </c>
      <c r="F70" s="66" t="s">
        <v>139</v>
      </c>
      <c r="G70" s="17" t="s">
        <v>140</v>
      </c>
      <c r="H70" s="17"/>
      <c r="I70" s="55">
        <v>43719</v>
      </c>
      <c r="J70" s="18">
        <v>1200000</v>
      </c>
      <c r="K70" s="14"/>
      <c r="L70" s="14">
        <f>MONTH(A70)</f>
        <v>7</v>
      </c>
      <c r="M70" s="14">
        <f>YEAR(Tabla1[[#This Row],[FECHA]])</f>
        <v>2025</v>
      </c>
    </row>
    <row r="71" spans="1:13" ht="30" hidden="1" x14ac:dyDescent="0.25">
      <c r="A71" s="15">
        <v>45857</v>
      </c>
      <c r="B71" s="14" t="s">
        <v>6</v>
      </c>
      <c r="C71" s="14" t="s">
        <v>45</v>
      </c>
      <c r="D71" s="14">
        <v>2</v>
      </c>
      <c r="E71" s="13" t="s">
        <v>141</v>
      </c>
      <c r="F71" s="66"/>
      <c r="G71" s="17"/>
      <c r="H71" s="17"/>
      <c r="I71" s="55">
        <v>37319</v>
      </c>
      <c r="J71" s="18"/>
      <c r="K71" s="14"/>
      <c r="L71" s="14">
        <f t="shared" si="1"/>
        <v>7</v>
      </c>
      <c r="M71" s="14">
        <f>YEAR(Tabla1[[#This Row],[FECHA]])</f>
        <v>2025</v>
      </c>
    </row>
    <row r="72" spans="1:13" ht="30" hidden="1" x14ac:dyDescent="0.25">
      <c r="A72" s="15">
        <v>45861</v>
      </c>
      <c r="B72" s="14" t="s">
        <v>4</v>
      </c>
      <c r="C72" s="14" t="s">
        <v>110</v>
      </c>
      <c r="D72" s="14">
        <v>12</v>
      </c>
      <c r="E72" s="13" t="s">
        <v>142</v>
      </c>
      <c r="F72" s="66"/>
      <c r="G72" s="17" t="s">
        <v>388</v>
      </c>
      <c r="H72" s="17"/>
      <c r="I72" s="55">
        <v>58543</v>
      </c>
      <c r="J72" s="18"/>
      <c r="K72" s="14"/>
      <c r="L72" s="14">
        <f t="shared" si="1"/>
        <v>7</v>
      </c>
      <c r="M72" s="14">
        <f>YEAR(Tabla1[[#This Row],[FECHA]])</f>
        <v>2025</v>
      </c>
    </row>
    <row r="73" spans="1:13" ht="30" hidden="1" x14ac:dyDescent="0.25">
      <c r="A73" s="15">
        <v>45861</v>
      </c>
      <c r="B73" s="14" t="s">
        <v>7</v>
      </c>
      <c r="C73" s="14" t="s">
        <v>48</v>
      </c>
      <c r="D73" s="14">
        <v>20</v>
      </c>
      <c r="E73" s="13" t="s">
        <v>143</v>
      </c>
      <c r="F73" s="66" t="s">
        <v>144</v>
      </c>
      <c r="G73" s="17"/>
      <c r="H73" s="17"/>
      <c r="I73" s="55">
        <v>18372</v>
      </c>
      <c r="J73" s="18">
        <v>915000</v>
      </c>
      <c r="K73" s="14"/>
      <c r="L73" s="14">
        <f t="shared" si="1"/>
        <v>7</v>
      </c>
      <c r="M73" s="14">
        <f>YEAR(Tabla1[[#This Row],[FECHA]])</f>
        <v>2025</v>
      </c>
    </row>
    <row r="74" spans="1:13" x14ac:dyDescent="0.25">
      <c r="A74" s="15">
        <v>45862</v>
      </c>
      <c r="B74" s="14" t="s">
        <v>11</v>
      </c>
      <c r="C74" s="14" t="s">
        <v>30</v>
      </c>
      <c r="D74" s="14">
        <v>1</v>
      </c>
      <c r="E74" s="13" t="s">
        <v>145</v>
      </c>
      <c r="F74" s="66"/>
      <c r="G74" s="17"/>
      <c r="H74" s="17"/>
      <c r="I74" s="55">
        <v>43765</v>
      </c>
      <c r="J74" s="18"/>
      <c r="K74" s="14"/>
      <c r="L74" s="14">
        <f t="shared" si="1"/>
        <v>7</v>
      </c>
      <c r="M74" s="14">
        <f>YEAR(Tabla1[[#This Row],[FECHA]])</f>
        <v>2025</v>
      </c>
    </row>
    <row r="75" spans="1:13" ht="30" hidden="1" x14ac:dyDescent="0.25">
      <c r="A75" s="15">
        <v>45863</v>
      </c>
      <c r="B75" s="14" t="s">
        <v>10</v>
      </c>
      <c r="C75" s="14" t="s">
        <v>75</v>
      </c>
      <c r="D75" s="14">
        <v>16</v>
      </c>
      <c r="E75" s="13" t="s">
        <v>146</v>
      </c>
      <c r="F75" s="66" t="s">
        <v>147</v>
      </c>
      <c r="G75" s="17"/>
      <c r="H75" s="52" t="s">
        <v>153</v>
      </c>
      <c r="I75" s="55">
        <v>44781</v>
      </c>
      <c r="J75" s="18">
        <v>118000</v>
      </c>
      <c r="K75" s="14"/>
      <c r="L75" s="14">
        <f t="shared" si="1"/>
        <v>7</v>
      </c>
      <c r="M75" s="14">
        <f>YEAR(Tabla1[[#This Row],[FECHA]])</f>
        <v>2025</v>
      </c>
    </row>
    <row r="76" spans="1:13" ht="30" hidden="1" x14ac:dyDescent="0.25">
      <c r="A76" s="15">
        <v>45864</v>
      </c>
      <c r="B76" s="14" t="s">
        <v>3</v>
      </c>
      <c r="C76" s="14" t="s">
        <v>61</v>
      </c>
      <c r="D76" s="14">
        <v>2</v>
      </c>
      <c r="E76" s="13" t="s">
        <v>148</v>
      </c>
      <c r="F76" s="66"/>
      <c r="G76" s="17"/>
      <c r="H76" s="17"/>
      <c r="I76" s="55">
        <v>6408</v>
      </c>
      <c r="J76" s="18"/>
      <c r="K76" s="14"/>
      <c r="L76" s="14">
        <f t="shared" si="1"/>
        <v>7</v>
      </c>
      <c r="M76" s="14">
        <f>YEAR(Tabla1[[#This Row],[FECHA]])</f>
        <v>2025</v>
      </c>
    </row>
    <row r="77" spans="1:13" hidden="1" x14ac:dyDescent="0.25">
      <c r="A77" s="15">
        <v>45866</v>
      </c>
      <c r="B77" s="14" t="s">
        <v>3</v>
      </c>
      <c r="C77" s="14" t="s">
        <v>61</v>
      </c>
      <c r="D77" s="14">
        <v>1</v>
      </c>
      <c r="E77" s="13" t="s">
        <v>149</v>
      </c>
      <c r="F77" s="66"/>
      <c r="G77" s="17"/>
      <c r="H77" s="17"/>
      <c r="I77" s="55">
        <v>6409</v>
      </c>
      <c r="J77" s="18"/>
      <c r="K77" s="14"/>
      <c r="L77" s="14">
        <f t="shared" si="1"/>
        <v>7</v>
      </c>
      <c r="M77" s="14">
        <f>YEAR(Tabla1[[#This Row],[FECHA]])</f>
        <v>2025</v>
      </c>
    </row>
    <row r="78" spans="1:13" ht="30" hidden="1" x14ac:dyDescent="0.25">
      <c r="A78" s="15">
        <v>45864</v>
      </c>
      <c r="B78" s="14" t="s">
        <v>10</v>
      </c>
      <c r="C78" s="14" t="s">
        <v>40</v>
      </c>
      <c r="D78" s="14">
        <v>94</v>
      </c>
      <c r="E78" s="13" t="s">
        <v>150</v>
      </c>
      <c r="F78" s="66" t="s">
        <v>151</v>
      </c>
      <c r="G78" s="50" t="s">
        <v>152</v>
      </c>
      <c r="H78" s="50" t="s">
        <v>153</v>
      </c>
      <c r="I78" s="55">
        <v>44846</v>
      </c>
      <c r="J78" s="73">
        <v>3200000</v>
      </c>
      <c r="K78" s="14"/>
      <c r="L78" s="14">
        <f t="shared" si="1"/>
        <v>7</v>
      </c>
      <c r="M78" s="14">
        <f>YEAR(Tabla1[[#This Row],[FECHA]])</f>
        <v>2025</v>
      </c>
    </row>
    <row r="79" spans="1:13" ht="30" hidden="1" x14ac:dyDescent="0.25">
      <c r="A79" s="15">
        <v>45871</v>
      </c>
      <c r="B79" s="14" t="s">
        <v>6</v>
      </c>
      <c r="C79" s="14" t="s">
        <v>37</v>
      </c>
      <c r="D79" s="14">
        <v>4</v>
      </c>
      <c r="E79" s="13" t="s">
        <v>118</v>
      </c>
      <c r="F79" s="66" t="s">
        <v>122</v>
      </c>
      <c r="G79" s="17"/>
      <c r="H79" s="17"/>
      <c r="I79" s="55">
        <v>37477</v>
      </c>
      <c r="J79" s="18"/>
      <c r="K79" s="14" t="s">
        <v>107</v>
      </c>
      <c r="L79" s="14">
        <f t="shared" si="1"/>
        <v>8</v>
      </c>
      <c r="M79" s="14">
        <f>YEAR(Tabla1[[#This Row],[FECHA]])</f>
        <v>2025</v>
      </c>
    </row>
    <row r="80" spans="1:13" ht="30" hidden="1" x14ac:dyDescent="0.25">
      <c r="A80" s="15">
        <v>45844</v>
      </c>
      <c r="B80" s="14" t="s">
        <v>8</v>
      </c>
      <c r="C80" s="14" t="s">
        <v>37</v>
      </c>
      <c r="D80" s="14">
        <v>4</v>
      </c>
      <c r="E80" s="13" t="s">
        <v>118</v>
      </c>
      <c r="F80" s="66" t="s">
        <v>108</v>
      </c>
      <c r="G80" s="17"/>
      <c r="H80" s="17"/>
      <c r="I80" s="55">
        <v>7542</v>
      </c>
      <c r="J80" s="18"/>
      <c r="K80" s="14"/>
      <c r="L80" s="14">
        <f t="shared" ref="L80:L85" si="2">MONTH(A80)</f>
        <v>7</v>
      </c>
      <c r="M80" s="14">
        <f>YEAR(Tabla1[[#This Row],[FECHA]])</f>
        <v>2025</v>
      </c>
    </row>
    <row r="81" spans="1:13" ht="30" hidden="1" x14ac:dyDescent="0.25">
      <c r="A81" s="15">
        <v>45875</v>
      </c>
      <c r="B81" s="14" t="s">
        <v>8</v>
      </c>
      <c r="C81" s="14" t="s">
        <v>37</v>
      </c>
      <c r="D81" s="14">
        <v>4</v>
      </c>
      <c r="E81" s="13" t="s">
        <v>118</v>
      </c>
      <c r="F81" s="66" t="s">
        <v>122</v>
      </c>
      <c r="G81" s="17"/>
      <c r="H81" s="17"/>
      <c r="I81" s="55">
        <v>7500</v>
      </c>
      <c r="J81" s="11"/>
      <c r="K81" s="14" t="s">
        <v>107</v>
      </c>
      <c r="L81" s="9">
        <f t="shared" si="2"/>
        <v>8</v>
      </c>
      <c r="M81" s="14">
        <f>YEAR(Tabla1[[#This Row],[FECHA]])</f>
        <v>2025</v>
      </c>
    </row>
    <row r="82" spans="1:13" ht="30" hidden="1" x14ac:dyDescent="0.25">
      <c r="A82" s="15">
        <v>45876</v>
      </c>
      <c r="B82" s="14" t="s">
        <v>9</v>
      </c>
      <c r="C82" s="14" t="s">
        <v>37</v>
      </c>
      <c r="D82" s="14">
        <v>4</v>
      </c>
      <c r="E82" s="13" t="s">
        <v>118</v>
      </c>
      <c r="F82" s="66" t="s">
        <v>122</v>
      </c>
      <c r="G82" s="17"/>
      <c r="H82" s="17"/>
      <c r="I82" s="55">
        <v>14029</v>
      </c>
      <c r="J82" s="18"/>
      <c r="K82" s="14" t="s">
        <v>107</v>
      </c>
      <c r="L82" s="14">
        <f t="shared" si="2"/>
        <v>8</v>
      </c>
      <c r="M82" s="14">
        <f>YEAR(Tabla1[[#This Row],[FECHA]])</f>
        <v>2025</v>
      </c>
    </row>
    <row r="83" spans="1:13" ht="30" x14ac:dyDescent="0.25">
      <c r="A83" s="15">
        <v>45876</v>
      </c>
      <c r="B83" s="14" t="s">
        <v>11</v>
      </c>
      <c r="C83" s="14" t="s">
        <v>37</v>
      </c>
      <c r="D83" s="14">
        <v>4</v>
      </c>
      <c r="E83" s="13" t="s">
        <v>118</v>
      </c>
      <c r="F83" s="66" t="s">
        <v>122</v>
      </c>
      <c r="G83" s="17"/>
      <c r="H83" s="17"/>
      <c r="I83" s="55">
        <v>43889</v>
      </c>
      <c r="J83" s="11"/>
      <c r="K83" s="14" t="s">
        <v>107</v>
      </c>
      <c r="L83" s="9">
        <f t="shared" si="2"/>
        <v>8</v>
      </c>
      <c r="M83" s="14">
        <f>YEAR(Tabla1[[#This Row],[FECHA]])</f>
        <v>2025</v>
      </c>
    </row>
    <row r="84" spans="1:13" ht="30" hidden="1" x14ac:dyDescent="0.25">
      <c r="A84" s="15">
        <v>45876</v>
      </c>
      <c r="B84" s="14" t="s">
        <v>5</v>
      </c>
      <c r="C84" s="14" t="s">
        <v>37</v>
      </c>
      <c r="D84" s="14">
        <v>4</v>
      </c>
      <c r="E84" s="13" t="s">
        <v>118</v>
      </c>
      <c r="F84" s="66" t="s">
        <v>108</v>
      </c>
      <c r="G84" s="17"/>
      <c r="H84" s="17"/>
      <c r="I84" s="55">
        <v>15729</v>
      </c>
      <c r="J84" s="11"/>
      <c r="K84" s="14" t="s">
        <v>107</v>
      </c>
      <c r="L84" s="9">
        <f t="shared" si="2"/>
        <v>8</v>
      </c>
      <c r="M84" s="14">
        <f>YEAR(Tabla1[[#This Row],[FECHA]])</f>
        <v>2025</v>
      </c>
    </row>
    <row r="85" spans="1:13" ht="30" hidden="1" x14ac:dyDescent="0.25">
      <c r="A85" s="15">
        <v>45876</v>
      </c>
      <c r="B85" s="14" t="s">
        <v>4</v>
      </c>
      <c r="C85" s="14" t="s">
        <v>37</v>
      </c>
      <c r="D85" s="14">
        <v>4</v>
      </c>
      <c r="E85" s="13" t="s">
        <v>118</v>
      </c>
      <c r="F85" s="66" t="s">
        <v>122</v>
      </c>
      <c r="G85" s="17"/>
      <c r="H85" s="17"/>
      <c r="I85" s="55">
        <v>58583</v>
      </c>
      <c r="J85" s="18"/>
      <c r="K85" s="14" t="s">
        <v>107</v>
      </c>
      <c r="L85" s="14">
        <f t="shared" si="2"/>
        <v>8</v>
      </c>
      <c r="M85" s="14">
        <f>YEAR(Tabla1[[#This Row],[FECHA]])</f>
        <v>2025</v>
      </c>
    </row>
    <row r="86" spans="1:13" ht="75" hidden="1" x14ac:dyDescent="0.25">
      <c r="A86" s="15">
        <v>45878</v>
      </c>
      <c r="B86" s="14" t="s">
        <v>10</v>
      </c>
      <c r="C86" s="14" t="s">
        <v>40</v>
      </c>
      <c r="D86" s="14">
        <v>143</v>
      </c>
      <c r="E86" s="13" t="s">
        <v>154</v>
      </c>
      <c r="F86" s="66" t="s">
        <v>155</v>
      </c>
      <c r="G86" s="50" t="s">
        <v>152</v>
      </c>
      <c r="H86" s="50" t="s">
        <v>153</v>
      </c>
      <c r="I86" s="55">
        <v>43719</v>
      </c>
      <c r="J86" s="73">
        <v>3200000</v>
      </c>
      <c r="K86" s="14"/>
      <c r="L86" s="14">
        <f t="shared" si="1"/>
        <v>8</v>
      </c>
      <c r="M86" s="14">
        <f>YEAR(Tabla1[[#This Row],[FECHA]])</f>
        <v>2025</v>
      </c>
    </row>
    <row r="87" spans="1:13" ht="90" hidden="1" x14ac:dyDescent="0.25">
      <c r="A87" s="15">
        <v>45887</v>
      </c>
      <c r="B87" s="14" t="s">
        <v>7</v>
      </c>
      <c r="C87" s="14" t="s">
        <v>37</v>
      </c>
      <c r="D87" s="14">
        <v>4</v>
      </c>
      <c r="E87" s="13" t="s">
        <v>118</v>
      </c>
      <c r="F87" s="66" t="s">
        <v>156</v>
      </c>
      <c r="G87" s="17"/>
      <c r="H87" s="17"/>
      <c r="I87" s="55">
        <v>18694</v>
      </c>
      <c r="J87" s="18"/>
      <c r="K87" s="14" t="s">
        <v>157</v>
      </c>
      <c r="L87" s="14">
        <f t="shared" si="1"/>
        <v>8</v>
      </c>
      <c r="M87" s="14">
        <f>YEAR(Tabla1[[#This Row],[FECHA]])</f>
        <v>2025</v>
      </c>
    </row>
    <row r="88" spans="1:13" ht="30" hidden="1" x14ac:dyDescent="0.25">
      <c r="A88" s="15">
        <v>45887</v>
      </c>
      <c r="B88" s="14" t="s">
        <v>7</v>
      </c>
      <c r="C88" s="14" t="s">
        <v>30</v>
      </c>
      <c r="D88" s="14">
        <v>2</v>
      </c>
      <c r="E88" s="13" t="s">
        <v>158</v>
      </c>
      <c r="F88" s="66" t="s">
        <v>159</v>
      </c>
      <c r="G88" s="50" t="s">
        <v>160</v>
      </c>
      <c r="H88" s="50" t="s">
        <v>153</v>
      </c>
      <c r="I88" s="55">
        <v>18694</v>
      </c>
      <c r="J88" s="73">
        <v>1300000</v>
      </c>
      <c r="K88" s="14"/>
      <c r="L88" s="9">
        <f>MONTH(A88)</f>
        <v>8</v>
      </c>
      <c r="M88" s="14">
        <f>YEAR(Tabla1[[#This Row],[FECHA]])</f>
        <v>2025</v>
      </c>
    </row>
    <row r="89" spans="1:13" ht="30" hidden="1" x14ac:dyDescent="0.25">
      <c r="A89" s="15">
        <v>45891</v>
      </c>
      <c r="B89" s="14" t="s">
        <v>3</v>
      </c>
      <c r="C89" s="14" t="s">
        <v>37</v>
      </c>
      <c r="D89" s="14">
        <v>4</v>
      </c>
      <c r="E89" s="13" t="s">
        <v>118</v>
      </c>
      <c r="F89" s="66" t="s">
        <v>122</v>
      </c>
      <c r="G89" s="17"/>
      <c r="H89" s="17"/>
      <c r="I89" s="55">
        <v>6457</v>
      </c>
      <c r="J89" s="18"/>
      <c r="K89" s="14" t="s">
        <v>107</v>
      </c>
      <c r="L89" s="14">
        <f t="shared" si="1"/>
        <v>8</v>
      </c>
      <c r="M89" s="14">
        <f>YEAR(Tabla1[[#This Row],[FECHA]])</f>
        <v>2025</v>
      </c>
    </row>
    <row r="90" spans="1:13" hidden="1" x14ac:dyDescent="0.25">
      <c r="A90" s="15">
        <v>45891</v>
      </c>
      <c r="B90" s="14" t="s">
        <v>3</v>
      </c>
      <c r="C90" s="14" t="s">
        <v>30</v>
      </c>
      <c r="D90" s="14">
        <v>2</v>
      </c>
      <c r="E90" s="13" t="s">
        <v>158</v>
      </c>
      <c r="F90" s="66" t="s">
        <v>161</v>
      </c>
      <c r="G90" s="50" t="s">
        <v>162</v>
      </c>
      <c r="H90" s="50" t="s">
        <v>153</v>
      </c>
      <c r="I90" s="55">
        <v>6457</v>
      </c>
      <c r="J90" s="73">
        <v>571250</v>
      </c>
      <c r="K90" s="14"/>
      <c r="L90" s="9">
        <f>MONTH(A90)</f>
        <v>8</v>
      </c>
      <c r="M90" s="14">
        <f>YEAR(Tabla1[[#This Row],[FECHA]])</f>
        <v>2025</v>
      </c>
    </row>
    <row r="91" spans="1:13" ht="30" hidden="1" x14ac:dyDescent="0.25">
      <c r="A91" s="15">
        <v>45891</v>
      </c>
      <c r="B91" s="14" t="s">
        <v>5</v>
      </c>
      <c r="C91" s="14" t="s">
        <v>40</v>
      </c>
      <c r="D91" s="14">
        <v>24</v>
      </c>
      <c r="E91" s="13" t="s">
        <v>163</v>
      </c>
      <c r="F91" s="66" t="s">
        <v>164</v>
      </c>
      <c r="G91" s="52" t="s">
        <v>165</v>
      </c>
      <c r="H91" s="52" t="s">
        <v>153</v>
      </c>
      <c r="I91" s="55">
        <v>15888</v>
      </c>
      <c r="J91" s="73">
        <v>450000</v>
      </c>
      <c r="K91" s="14"/>
      <c r="L91" s="14">
        <f t="shared" si="1"/>
        <v>8</v>
      </c>
      <c r="M91" s="14">
        <f>YEAR(Tabla1[[#This Row],[FECHA]])</f>
        <v>2025</v>
      </c>
    </row>
    <row r="92" spans="1:13" ht="30" hidden="1" x14ac:dyDescent="0.25">
      <c r="A92" s="15">
        <v>45894</v>
      </c>
      <c r="B92" s="14" t="s">
        <v>8</v>
      </c>
      <c r="C92" s="14" t="s">
        <v>166</v>
      </c>
      <c r="D92" s="14">
        <v>1</v>
      </c>
      <c r="E92" s="13" t="s">
        <v>167</v>
      </c>
      <c r="F92" s="66"/>
      <c r="G92" s="52" t="s">
        <v>168</v>
      </c>
      <c r="H92" s="52" t="s">
        <v>153</v>
      </c>
      <c r="I92" s="57">
        <v>7651</v>
      </c>
      <c r="J92" s="73">
        <v>953000</v>
      </c>
      <c r="K92" s="14"/>
      <c r="L92" s="14">
        <f t="shared" si="1"/>
        <v>8</v>
      </c>
      <c r="M92" s="14">
        <f>YEAR(Tabla1[[#This Row],[FECHA]])</f>
        <v>2025</v>
      </c>
    </row>
    <row r="93" spans="1:13" ht="30" hidden="1" x14ac:dyDescent="0.25">
      <c r="A93" s="15">
        <v>45895</v>
      </c>
      <c r="B93" s="14" t="s">
        <v>8</v>
      </c>
      <c r="C93" s="14" t="s">
        <v>166</v>
      </c>
      <c r="D93" s="14">
        <v>4</v>
      </c>
      <c r="E93" s="13" t="s">
        <v>169</v>
      </c>
      <c r="F93" s="66"/>
      <c r="G93" s="52" t="s">
        <v>168</v>
      </c>
      <c r="H93" s="52" t="s">
        <v>153</v>
      </c>
      <c r="I93" s="55">
        <v>7651</v>
      </c>
      <c r="J93" s="73">
        <v>953000</v>
      </c>
      <c r="K93" s="14"/>
      <c r="L93" s="14">
        <f t="shared" si="1"/>
        <v>8</v>
      </c>
      <c r="M93" s="14">
        <f>YEAR(Tabla1[[#This Row],[FECHA]])</f>
        <v>2025</v>
      </c>
    </row>
    <row r="94" spans="1:13" ht="30" hidden="1" x14ac:dyDescent="0.25">
      <c r="A94" s="15">
        <v>45898</v>
      </c>
      <c r="B94" s="14" t="s">
        <v>10</v>
      </c>
      <c r="C94" s="14" t="s">
        <v>37</v>
      </c>
      <c r="D94" s="14">
        <v>4</v>
      </c>
      <c r="E94" s="13" t="s">
        <v>118</v>
      </c>
      <c r="F94" s="66" t="s">
        <v>122</v>
      </c>
      <c r="G94" s="17"/>
      <c r="H94" s="17"/>
      <c r="I94" s="55">
        <v>45028</v>
      </c>
      <c r="J94" s="18"/>
      <c r="K94" s="14" t="s">
        <v>107</v>
      </c>
      <c r="L94" s="14">
        <f t="shared" si="1"/>
        <v>8</v>
      </c>
      <c r="M94" s="14">
        <f>YEAR(Tabla1[[#This Row],[FECHA]])</f>
        <v>2025</v>
      </c>
    </row>
    <row r="95" spans="1:13" ht="45" hidden="1" x14ac:dyDescent="0.25">
      <c r="A95" s="15">
        <v>45906</v>
      </c>
      <c r="B95" s="14" t="s">
        <v>5</v>
      </c>
      <c r="C95" s="14" t="s">
        <v>75</v>
      </c>
      <c r="D95" s="14">
        <v>1</v>
      </c>
      <c r="E95" s="13" t="s">
        <v>170</v>
      </c>
      <c r="F95" s="66" t="s">
        <v>171</v>
      </c>
      <c r="G95" s="52" t="s">
        <v>172</v>
      </c>
      <c r="H95" s="52" t="s">
        <v>153</v>
      </c>
      <c r="I95" s="55">
        <v>15958</v>
      </c>
      <c r="J95" s="73">
        <v>1108000</v>
      </c>
      <c r="K95" s="14"/>
      <c r="L95" s="14">
        <f t="shared" si="1"/>
        <v>9</v>
      </c>
      <c r="M95" s="14">
        <f>YEAR(Tabla1[[#This Row],[FECHA]])</f>
        <v>2025</v>
      </c>
    </row>
    <row r="96" spans="1:13" ht="30" hidden="1" x14ac:dyDescent="0.25">
      <c r="A96" s="15">
        <v>45906</v>
      </c>
      <c r="B96" s="14" t="s">
        <v>8</v>
      </c>
      <c r="C96" s="14" t="s">
        <v>37</v>
      </c>
      <c r="D96" s="14">
        <v>4</v>
      </c>
      <c r="E96" s="13" t="s">
        <v>118</v>
      </c>
      <c r="F96" s="66" t="s">
        <v>108</v>
      </c>
      <c r="G96" s="17"/>
      <c r="H96" s="17"/>
      <c r="I96" s="55">
        <v>7754</v>
      </c>
      <c r="J96" s="11"/>
      <c r="K96" s="14" t="s">
        <v>107</v>
      </c>
      <c r="L96" s="9">
        <f>MONTH(A96)</f>
        <v>9</v>
      </c>
      <c r="M96" s="14">
        <f>YEAR(Tabla1[[#This Row],[FECHA]])</f>
        <v>2025</v>
      </c>
    </row>
    <row r="97" spans="1:13" ht="90" x14ac:dyDescent="0.25">
      <c r="A97" s="15">
        <v>45906</v>
      </c>
      <c r="B97" s="14" t="s">
        <v>11</v>
      </c>
      <c r="C97" s="14" t="s">
        <v>37</v>
      </c>
      <c r="D97" s="14">
        <v>16</v>
      </c>
      <c r="E97" s="13" t="s">
        <v>118</v>
      </c>
      <c r="F97" s="66" t="s">
        <v>156</v>
      </c>
      <c r="G97" s="17"/>
      <c r="H97" s="17"/>
      <c r="I97" s="55">
        <v>44143</v>
      </c>
      <c r="J97" s="18"/>
      <c r="K97" s="14" t="s">
        <v>157</v>
      </c>
      <c r="L97" s="14">
        <f t="shared" si="1"/>
        <v>9</v>
      </c>
      <c r="M97" s="14">
        <f>YEAR(Tabla1[[#This Row],[FECHA]])</f>
        <v>2025</v>
      </c>
    </row>
    <row r="98" spans="1:13" ht="60" hidden="1" x14ac:dyDescent="0.25">
      <c r="A98" s="15">
        <v>45909</v>
      </c>
      <c r="B98" s="14" t="s">
        <v>9</v>
      </c>
      <c r="C98" s="14" t="s">
        <v>30</v>
      </c>
      <c r="D98" s="14">
        <v>21</v>
      </c>
      <c r="E98" s="13" t="s">
        <v>173</v>
      </c>
      <c r="F98" s="66" t="s">
        <v>174</v>
      </c>
      <c r="G98" s="52" t="s">
        <v>175</v>
      </c>
      <c r="H98" s="52" t="s">
        <v>153</v>
      </c>
      <c r="I98" s="55">
        <v>14292</v>
      </c>
      <c r="J98" s="76">
        <v>4318170</v>
      </c>
      <c r="K98" s="14"/>
      <c r="L98" s="14">
        <f t="shared" si="1"/>
        <v>9</v>
      </c>
      <c r="M98" s="14">
        <f>YEAR(Tabla1[[#This Row],[FECHA]])</f>
        <v>2025</v>
      </c>
    </row>
    <row r="99" spans="1:13" ht="90" hidden="1" x14ac:dyDescent="0.25">
      <c r="A99" s="15">
        <v>45910</v>
      </c>
      <c r="B99" s="14" t="s">
        <v>6</v>
      </c>
      <c r="C99" s="14" t="s">
        <v>37</v>
      </c>
      <c r="D99" s="14">
        <v>16</v>
      </c>
      <c r="E99" s="13" t="s">
        <v>118</v>
      </c>
      <c r="F99" s="66" t="s">
        <v>156</v>
      </c>
      <c r="G99" s="17"/>
      <c r="H99" s="17"/>
      <c r="I99" s="55">
        <v>37727</v>
      </c>
      <c r="J99" s="18"/>
      <c r="K99" s="14" t="s">
        <v>157</v>
      </c>
      <c r="L99" s="14">
        <f t="shared" si="1"/>
        <v>9</v>
      </c>
      <c r="M99" s="14">
        <f>YEAR(Tabla1[[#This Row],[FECHA]])</f>
        <v>2025</v>
      </c>
    </row>
    <row r="100" spans="1:13" ht="75" hidden="1" x14ac:dyDescent="0.25">
      <c r="A100" s="15">
        <v>45911</v>
      </c>
      <c r="B100" s="14" t="s">
        <v>6</v>
      </c>
      <c r="C100" s="14" t="s">
        <v>176</v>
      </c>
      <c r="D100" s="14">
        <v>8</v>
      </c>
      <c r="E100" s="13" t="s">
        <v>177</v>
      </c>
      <c r="F100" s="66" t="s">
        <v>178</v>
      </c>
      <c r="G100" s="52" t="s">
        <v>179</v>
      </c>
      <c r="H100" s="52" t="s">
        <v>153</v>
      </c>
      <c r="I100" s="55">
        <v>37720</v>
      </c>
      <c r="J100" s="73">
        <v>4212867</v>
      </c>
      <c r="K100" s="14"/>
      <c r="L100" s="9">
        <f>MONTH(A100)</f>
        <v>9</v>
      </c>
      <c r="M100" s="14">
        <f>YEAR(Tabla1[[#This Row],[FECHA]])</f>
        <v>2025</v>
      </c>
    </row>
    <row r="101" spans="1:13" ht="90" hidden="1" x14ac:dyDescent="0.25">
      <c r="A101" s="15">
        <v>45912</v>
      </c>
      <c r="B101" s="14" t="s">
        <v>9</v>
      </c>
      <c r="C101" s="14" t="s">
        <v>37</v>
      </c>
      <c r="D101" s="14">
        <v>16</v>
      </c>
      <c r="E101" s="13" t="s">
        <v>118</v>
      </c>
      <c r="F101" s="66" t="s">
        <v>156</v>
      </c>
      <c r="G101" s="17"/>
      <c r="H101" s="17"/>
      <c r="I101" s="55">
        <v>14279</v>
      </c>
      <c r="J101" s="18"/>
      <c r="K101" s="14" t="s">
        <v>157</v>
      </c>
      <c r="L101" s="14">
        <f t="shared" si="1"/>
        <v>9</v>
      </c>
      <c r="M101" s="14">
        <f>YEAR(Tabla1[[#This Row],[FECHA]])</f>
        <v>2025</v>
      </c>
    </row>
    <row r="102" spans="1:13" ht="30" hidden="1" x14ac:dyDescent="0.25">
      <c r="A102" s="15">
        <v>45912</v>
      </c>
      <c r="B102" s="14" t="s">
        <v>9</v>
      </c>
      <c r="C102" s="14" t="s">
        <v>176</v>
      </c>
      <c r="D102" s="14">
        <v>8</v>
      </c>
      <c r="E102" s="13" t="s">
        <v>180</v>
      </c>
      <c r="F102" s="66" t="s">
        <v>181</v>
      </c>
      <c r="G102" s="52" t="s">
        <v>175</v>
      </c>
      <c r="H102" s="52" t="s">
        <v>153</v>
      </c>
      <c r="I102" s="55">
        <v>14308</v>
      </c>
      <c r="J102" s="76">
        <v>4318170</v>
      </c>
      <c r="K102" s="14"/>
      <c r="L102" s="9">
        <f>MONTH(A102)</f>
        <v>9</v>
      </c>
      <c r="M102" s="14">
        <f>YEAR(Tabla1[[#This Row],[FECHA]])</f>
        <v>2025</v>
      </c>
    </row>
    <row r="103" spans="1:13" ht="45" hidden="1" x14ac:dyDescent="0.25">
      <c r="A103" s="15">
        <v>45913</v>
      </c>
      <c r="B103" s="14" t="s">
        <v>6</v>
      </c>
      <c r="C103" s="14" t="s">
        <v>75</v>
      </c>
      <c r="D103" s="14">
        <v>2</v>
      </c>
      <c r="E103" s="13" t="s">
        <v>182</v>
      </c>
      <c r="F103" s="66"/>
      <c r="G103" s="17"/>
      <c r="H103" s="17"/>
      <c r="I103" s="55">
        <v>37813</v>
      </c>
      <c r="J103" s="11"/>
      <c r="K103" s="14"/>
      <c r="L103" s="9">
        <f>MONTH(A103)</f>
        <v>9</v>
      </c>
      <c r="M103" s="14">
        <f>YEAR(Tabla1[[#This Row],[FECHA]])</f>
        <v>2025</v>
      </c>
    </row>
    <row r="104" spans="1:13" ht="30" hidden="1" x14ac:dyDescent="0.25">
      <c r="A104" s="15">
        <v>45913</v>
      </c>
      <c r="B104" s="14" t="s">
        <v>7</v>
      </c>
      <c r="C104" s="14" t="s">
        <v>37</v>
      </c>
      <c r="D104" s="14">
        <v>4</v>
      </c>
      <c r="E104" s="13" t="s">
        <v>118</v>
      </c>
      <c r="F104" s="66" t="s">
        <v>122</v>
      </c>
      <c r="G104" s="17"/>
      <c r="H104" s="17"/>
      <c r="I104" s="55">
        <v>19078</v>
      </c>
      <c r="J104" s="18"/>
      <c r="K104" s="14" t="s">
        <v>107</v>
      </c>
      <c r="L104" s="14">
        <f t="shared" si="1"/>
        <v>9</v>
      </c>
      <c r="M104" s="14">
        <f>YEAR(Tabla1[[#This Row],[FECHA]])</f>
        <v>2025</v>
      </c>
    </row>
    <row r="105" spans="1:13" ht="30" hidden="1" x14ac:dyDescent="0.25">
      <c r="A105" s="15">
        <v>45914</v>
      </c>
      <c r="B105" s="14" t="s">
        <v>5</v>
      </c>
      <c r="C105" s="14" t="s">
        <v>37</v>
      </c>
      <c r="D105" s="14">
        <v>4</v>
      </c>
      <c r="E105" s="13" t="s">
        <v>118</v>
      </c>
      <c r="F105" s="66" t="s">
        <v>108</v>
      </c>
      <c r="G105" s="17"/>
      <c r="H105" s="17"/>
      <c r="I105" s="55">
        <v>16019</v>
      </c>
      <c r="J105" s="18"/>
      <c r="K105" s="14" t="s">
        <v>107</v>
      </c>
      <c r="L105" s="14">
        <f t="shared" si="1"/>
        <v>9</v>
      </c>
      <c r="M105" s="14">
        <f>YEAR(Tabla1[[#This Row],[FECHA]])</f>
        <v>2025</v>
      </c>
    </row>
    <row r="106" spans="1:13" ht="30" hidden="1" x14ac:dyDescent="0.25">
      <c r="A106" s="15">
        <v>45917</v>
      </c>
      <c r="B106" s="14" t="s">
        <v>6</v>
      </c>
      <c r="C106" s="14" t="s">
        <v>54</v>
      </c>
      <c r="D106" s="14">
        <v>3</v>
      </c>
      <c r="E106" s="13" t="s">
        <v>183</v>
      </c>
      <c r="F106" s="66" t="s">
        <v>184</v>
      </c>
      <c r="G106" s="52" t="s">
        <v>185</v>
      </c>
      <c r="H106" s="52" t="s">
        <v>153</v>
      </c>
      <c r="I106" s="55">
        <v>37829</v>
      </c>
      <c r="J106" s="73">
        <v>1470000</v>
      </c>
      <c r="K106" s="14"/>
      <c r="L106" s="14">
        <f t="shared" si="1"/>
        <v>9</v>
      </c>
      <c r="M106" s="14">
        <f>YEAR(Tabla1[[#This Row],[FECHA]])</f>
        <v>2025</v>
      </c>
    </row>
    <row r="107" spans="1:13" ht="45" hidden="1" x14ac:dyDescent="0.25">
      <c r="A107" s="15">
        <v>45919</v>
      </c>
      <c r="B107" s="14" t="s">
        <v>10</v>
      </c>
      <c r="C107" s="14" t="s">
        <v>45</v>
      </c>
      <c r="D107" s="14">
        <v>3</v>
      </c>
      <c r="E107" s="65" t="s">
        <v>186</v>
      </c>
      <c r="F107" s="66" t="s">
        <v>187</v>
      </c>
      <c r="G107" s="17"/>
      <c r="H107" s="17"/>
      <c r="I107" s="55">
        <v>45103</v>
      </c>
      <c r="J107" s="18"/>
      <c r="K107" s="14"/>
      <c r="L107" s="14">
        <f t="shared" si="1"/>
        <v>9</v>
      </c>
      <c r="M107" s="14">
        <f>YEAR(Tabla1[[#This Row],[FECHA]])</f>
        <v>2025</v>
      </c>
    </row>
    <row r="108" spans="1:13" ht="45" hidden="1" x14ac:dyDescent="0.25">
      <c r="A108" s="15">
        <v>45919</v>
      </c>
      <c r="B108" s="14" t="s">
        <v>7</v>
      </c>
      <c r="C108" s="14" t="s">
        <v>75</v>
      </c>
      <c r="D108" s="14">
        <v>3</v>
      </c>
      <c r="E108" s="13" t="s">
        <v>188</v>
      </c>
      <c r="F108" s="66" t="s">
        <v>189</v>
      </c>
      <c r="G108" s="52" t="s">
        <v>190</v>
      </c>
      <c r="H108" s="52" t="s">
        <v>153</v>
      </c>
      <c r="I108" s="55">
        <v>19144</v>
      </c>
      <c r="J108" s="73">
        <v>1834700</v>
      </c>
      <c r="K108" s="14"/>
      <c r="L108" s="14">
        <f t="shared" ref="L108:L172" si="3">MONTH(A108)</f>
        <v>9</v>
      </c>
      <c r="M108" s="14">
        <f>YEAR(Tabla1[[#This Row],[FECHA]])</f>
        <v>2025</v>
      </c>
    </row>
    <row r="109" spans="1:13" ht="30" hidden="1" x14ac:dyDescent="0.25">
      <c r="A109" s="15">
        <v>45919</v>
      </c>
      <c r="B109" s="14" t="s">
        <v>6</v>
      </c>
      <c r="C109" s="14" t="s">
        <v>75</v>
      </c>
      <c r="D109" s="14">
        <v>1</v>
      </c>
      <c r="E109" s="13" t="s">
        <v>191</v>
      </c>
      <c r="F109" s="66"/>
      <c r="G109" s="17"/>
      <c r="H109" s="17"/>
      <c r="I109" s="55">
        <v>37840</v>
      </c>
      <c r="J109" s="18"/>
      <c r="K109" s="14"/>
      <c r="L109" s="14">
        <f t="shared" si="3"/>
        <v>9</v>
      </c>
      <c r="M109" s="14">
        <f>YEAR(Tabla1[[#This Row],[FECHA]])</f>
        <v>2025</v>
      </c>
    </row>
    <row r="110" spans="1:13" ht="30" hidden="1" x14ac:dyDescent="0.25">
      <c r="A110" s="15">
        <v>45922</v>
      </c>
      <c r="B110" s="14" t="s">
        <v>4</v>
      </c>
      <c r="C110" s="14" t="s">
        <v>61</v>
      </c>
      <c r="D110" s="14">
        <v>24</v>
      </c>
      <c r="E110" s="13" t="s">
        <v>192</v>
      </c>
      <c r="F110" s="66" t="s">
        <v>193</v>
      </c>
      <c r="G110" s="52" t="s">
        <v>194</v>
      </c>
      <c r="H110" s="52" t="s">
        <v>153</v>
      </c>
      <c r="I110" s="55">
        <v>58731</v>
      </c>
      <c r="J110" s="73">
        <v>1002100</v>
      </c>
      <c r="K110" s="14"/>
      <c r="L110" s="14">
        <f t="shared" si="3"/>
        <v>9</v>
      </c>
      <c r="M110" s="14">
        <f>YEAR(Tabla1[[#This Row],[FECHA]])</f>
        <v>2025</v>
      </c>
    </row>
    <row r="111" spans="1:13" hidden="1" x14ac:dyDescent="0.25">
      <c r="A111" s="15">
        <v>45922</v>
      </c>
      <c r="B111" s="14" t="s">
        <v>9</v>
      </c>
      <c r="C111" s="14" t="s">
        <v>48</v>
      </c>
      <c r="D111" s="14">
        <v>2</v>
      </c>
      <c r="E111" s="13" t="s">
        <v>195</v>
      </c>
      <c r="F111" s="66"/>
      <c r="G111" s="17"/>
      <c r="H111" s="17"/>
      <c r="I111" s="55">
        <v>14393</v>
      </c>
      <c r="J111" s="76"/>
      <c r="K111" s="14"/>
      <c r="L111" s="14">
        <f t="shared" si="3"/>
        <v>9</v>
      </c>
      <c r="M111" s="14">
        <f>YEAR(Tabla1[[#This Row],[FECHA]])</f>
        <v>2025</v>
      </c>
    </row>
    <row r="112" spans="1:13" ht="30" hidden="1" x14ac:dyDescent="0.25">
      <c r="A112" s="15">
        <v>45924</v>
      </c>
      <c r="B112" s="14" t="s">
        <v>7</v>
      </c>
      <c r="C112" s="14" t="s">
        <v>110</v>
      </c>
      <c r="D112" s="14">
        <v>2</v>
      </c>
      <c r="E112" s="13" t="s">
        <v>196</v>
      </c>
      <c r="F112" s="66" t="s">
        <v>197</v>
      </c>
      <c r="G112" s="52" t="s">
        <v>198</v>
      </c>
      <c r="H112" s="52" t="s">
        <v>153</v>
      </c>
      <c r="I112" s="55">
        <v>19226</v>
      </c>
      <c r="J112" s="73">
        <v>290700</v>
      </c>
      <c r="K112" s="14"/>
      <c r="L112" s="14">
        <f t="shared" si="3"/>
        <v>9</v>
      </c>
      <c r="M112" s="14">
        <f>YEAR(Tabla1[[#This Row],[FECHA]])</f>
        <v>2025</v>
      </c>
    </row>
    <row r="113" spans="1:13" hidden="1" x14ac:dyDescent="0.25">
      <c r="A113" s="15">
        <v>45925</v>
      </c>
      <c r="B113" s="14" t="s">
        <v>8</v>
      </c>
      <c r="C113" s="14" t="s">
        <v>176</v>
      </c>
      <c r="D113" s="14">
        <v>1</v>
      </c>
      <c r="E113" s="13" t="s">
        <v>199</v>
      </c>
      <c r="F113" s="66" t="s">
        <v>200</v>
      </c>
      <c r="G113" s="52" t="s">
        <v>168</v>
      </c>
      <c r="H113" s="52" t="s">
        <v>153</v>
      </c>
      <c r="I113" s="55">
        <v>7901</v>
      </c>
      <c r="J113" s="73">
        <v>953800</v>
      </c>
      <c r="K113" s="14"/>
      <c r="L113" s="14">
        <f t="shared" si="3"/>
        <v>9</v>
      </c>
      <c r="M113" s="14">
        <f>YEAR(Tabla1[[#This Row],[FECHA]])</f>
        <v>2025</v>
      </c>
    </row>
    <row r="114" spans="1:13" ht="30" hidden="1" x14ac:dyDescent="0.25">
      <c r="A114" s="15">
        <v>45926</v>
      </c>
      <c r="B114" s="14" t="s">
        <v>6</v>
      </c>
      <c r="C114" s="14" t="s">
        <v>30</v>
      </c>
      <c r="D114" s="14">
        <v>2</v>
      </c>
      <c r="E114" s="13" t="s">
        <v>201</v>
      </c>
      <c r="F114" s="66" t="s">
        <v>202</v>
      </c>
      <c r="G114" s="52" t="s">
        <v>179</v>
      </c>
      <c r="H114" s="52" t="s">
        <v>153</v>
      </c>
      <c r="I114" s="55">
        <v>36861</v>
      </c>
      <c r="J114" s="73">
        <v>4212867</v>
      </c>
      <c r="K114" s="14"/>
      <c r="L114" s="14">
        <f t="shared" si="3"/>
        <v>9</v>
      </c>
      <c r="M114" s="14">
        <f>YEAR(Tabla1[[#This Row],[FECHA]])</f>
        <v>2025</v>
      </c>
    </row>
    <row r="115" spans="1:13" ht="30" hidden="1" x14ac:dyDescent="0.25">
      <c r="A115" s="15">
        <v>45929</v>
      </c>
      <c r="B115" s="9" t="s">
        <v>10</v>
      </c>
      <c r="C115" s="14" t="s">
        <v>37</v>
      </c>
      <c r="D115" s="9"/>
      <c r="E115" s="13" t="s">
        <v>118</v>
      </c>
      <c r="F115" s="66" t="s">
        <v>122</v>
      </c>
      <c r="G115" s="17"/>
      <c r="H115" s="17"/>
      <c r="I115" s="55">
        <v>45275</v>
      </c>
      <c r="J115" s="11"/>
      <c r="K115" s="14" t="s">
        <v>107</v>
      </c>
      <c r="L115" s="9">
        <f>MONTH(A115)</f>
        <v>9</v>
      </c>
      <c r="M115" s="14">
        <f>YEAR(Tabla1[[#This Row],[FECHA]])</f>
        <v>2025</v>
      </c>
    </row>
    <row r="116" spans="1:13" ht="30" hidden="1" x14ac:dyDescent="0.25">
      <c r="A116" s="15">
        <v>45929</v>
      </c>
      <c r="B116" s="14" t="s">
        <v>10</v>
      </c>
      <c r="C116" s="14" t="s">
        <v>110</v>
      </c>
      <c r="D116" s="14">
        <v>1</v>
      </c>
      <c r="E116" s="13" t="s">
        <v>203</v>
      </c>
      <c r="F116" s="66" t="s">
        <v>204</v>
      </c>
      <c r="G116" s="52" t="s">
        <v>205</v>
      </c>
      <c r="H116" s="52" t="s">
        <v>153</v>
      </c>
      <c r="I116" s="55">
        <v>45275</v>
      </c>
      <c r="J116" s="73">
        <v>247700</v>
      </c>
      <c r="K116" s="14"/>
      <c r="L116" s="14">
        <f t="shared" si="3"/>
        <v>9</v>
      </c>
      <c r="M116" s="14">
        <f>YEAR(Tabla1[[#This Row],[FECHA]])</f>
        <v>2025</v>
      </c>
    </row>
    <row r="117" spans="1:13" hidden="1" x14ac:dyDescent="0.25">
      <c r="A117" s="15">
        <v>45930</v>
      </c>
      <c r="B117" s="14" t="s">
        <v>7</v>
      </c>
      <c r="C117" s="14" t="s">
        <v>78</v>
      </c>
      <c r="D117" s="14">
        <v>4</v>
      </c>
      <c r="E117" s="13" t="s">
        <v>206</v>
      </c>
      <c r="F117" s="66" t="s">
        <v>207</v>
      </c>
      <c r="G117" s="52" t="s">
        <v>208</v>
      </c>
      <c r="H117" s="52" t="s">
        <v>153</v>
      </c>
      <c r="I117" s="55">
        <v>19324</v>
      </c>
      <c r="J117" s="73">
        <v>3380000</v>
      </c>
      <c r="K117" s="14"/>
      <c r="L117" s="14">
        <f t="shared" si="3"/>
        <v>9</v>
      </c>
      <c r="M117" s="14">
        <f>YEAR(Tabla1[[#This Row],[FECHA]])</f>
        <v>2025</v>
      </c>
    </row>
    <row r="118" spans="1:13" ht="30" hidden="1" x14ac:dyDescent="0.25">
      <c r="A118" s="15">
        <v>45930</v>
      </c>
      <c r="B118" s="14" t="s">
        <v>7</v>
      </c>
      <c r="C118" s="14" t="s">
        <v>37</v>
      </c>
      <c r="D118" s="14">
        <v>4</v>
      </c>
      <c r="E118" s="13" t="s">
        <v>118</v>
      </c>
      <c r="F118" s="66" t="s">
        <v>122</v>
      </c>
      <c r="G118" s="17"/>
      <c r="H118" s="17"/>
      <c r="I118" s="55">
        <v>19324</v>
      </c>
      <c r="J118" s="18"/>
      <c r="K118" s="14" t="s">
        <v>107</v>
      </c>
      <c r="L118" s="14">
        <f t="shared" si="3"/>
        <v>9</v>
      </c>
      <c r="M118" s="14">
        <f>YEAR(Tabla1[[#This Row],[FECHA]])</f>
        <v>2025</v>
      </c>
    </row>
    <row r="119" spans="1:13" hidden="1" x14ac:dyDescent="0.25">
      <c r="A119" s="15">
        <v>45930</v>
      </c>
      <c r="B119" s="14" t="s">
        <v>3</v>
      </c>
      <c r="C119" s="14" t="s">
        <v>75</v>
      </c>
      <c r="D119" s="14">
        <v>4</v>
      </c>
      <c r="E119" s="13" t="s">
        <v>209</v>
      </c>
      <c r="F119" s="66" t="s">
        <v>210</v>
      </c>
      <c r="G119" s="52" t="s">
        <v>211</v>
      </c>
      <c r="H119" s="52" t="s">
        <v>153</v>
      </c>
      <c r="I119" s="55">
        <v>6557</v>
      </c>
      <c r="J119" s="73">
        <v>2375900</v>
      </c>
      <c r="K119" s="14"/>
      <c r="L119" s="14">
        <f t="shared" si="3"/>
        <v>9</v>
      </c>
      <c r="M119" s="14">
        <f>YEAR(Tabla1[[#This Row],[FECHA]])</f>
        <v>2025</v>
      </c>
    </row>
    <row r="120" spans="1:13" hidden="1" x14ac:dyDescent="0.25">
      <c r="A120" s="15">
        <v>45931</v>
      </c>
      <c r="B120" s="14" t="s">
        <v>5</v>
      </c>
      <c r="C120" s="14" t="s">
        <v>166</v>
      </c>
      <c r="D120" s="14">
        <v>1</v>
      </c>
      <c r="E120" s="13" t="s">
        <v>212</v>
      </c>
      <c r="F120" s="66"/>
      <c r="G120" s="17"/>
      <c r="H120" s="17"/>
      <c r="I120" s="55">
        <v>16176</v>
      </c>
      <c r="J120" s="18"/>
      <c r="K120" s="14"/>
      <c r="L120" s="14">
        <f t="shared" si="3"/>
        <v>10</v>
      </c>
      <c r="M120" s="14">
        <f>YEAR(Tabla1[[#This Row],[FECHA]])</f>
        <v>2025</v>
      </c>
    </row>
    <row r="121" spans="1:13" hidden="1" x14ac:dyDescent="0.25">
      <c r="A121" s="15">
        <v>45933</v>
      </c>
      <c r="B121" s="14" t="s">
        <v>10</v>
      </c>
      <c r="C121" s="14" t="s">
        <v>54</v>
      </c>
      <c r="D121" s="14">
        <v>1</v>
      </c>
      <c r="E121" s="13" t="s">
        <v>213</v>
      </c>
      <c r="F121" s="66" t="s">
        <v>214</v>
      </c>
      <c r="G121" s="52" t="s">
        <v>215</v>
      </c>
      <c r="H121" s="52" t="s">
        <v>153</v>
      </c>
      <c r="I121" s="55">
        <v>45308</v>
      </c>
      <c r="J121" s="73">
        <v>680000</v>
      </c>
      <c r="K121" s="14"/>
      <c r="L121" s="14">
        <f t="shared" si="3"/>
        <v>10</v>
      </c>
      <c r="M121" s="14">
        <f>YEAR(Tabla1[[#This Row],[FECHA]])</f>
        <v>2025</v>
      </c>
    </row>
    <row r="122" spans="1:13" hidden="1" x14ac:dyDescent="0.25">
      <c r="A122" s="15">
        <v>45934</v>
      </c>
      <c r="B122" s="14" t="s">
        <v>10</v>
      </c>
      <c r="C122" s="14" t="s">
        <v>30</v>
      </c>
      <c r="D122" s="14">
        <v>1</v>
      </c>
      <c r="E122" s="13" t="s">
        <v>216</v>
      </c>
      <c r="F122" s="66" t="s">
        <v>217</v>
      </c>
      <c r="G122" s="52" t="s">
        <v>218</v>
      </c>
      <c r="H122" s="52" t="s">
        <v>153</v>
      </c>
      <c r="I122" s="55">
        <v>45321</v>
      </c>
      <c r="J122" s="73">
        <v>69300</v>
      </c>
      <c r="K122" s="14"/>
      <c r="L122" s="14">
        <f t="shared" si="3"/>
        <v>10</v>
      </c>
      <c r="M122" s="14">
        <f>YEAR(Tabla1[[#This Row],[FECHA]])</f>
        <v>2025</v>
      </c>
    </row>
    <row r="123" spans="1:13" ht="30" hidden="1" x14ac:dyDescent="0.25">
      <c r="A123" s="15">
        <v>45936</v>
      </c>
      <c r="B123" s="14" t="s">
        <v>9</v>
      </c>
      <c r="C123" s="14" t="s">
        <v>37</v>
      </c>
      <c r="D123" s="14">
        <v>4</v>
      </c>
      <c r="E123" s="13" t="s">
        <v>118</v>
      </c>
      <c r="F123" s="66" t="s">
        <v>122</v>
      </c>
      <c r="G123" s="17"/>
      <c r="H123" s="17"/>
      <c r="I123" s="55">
        <v>14514</v>
      </c>
      <c r="J123" s="18"/>
      <c r="K123" s="14" t="s">
        <v>107</v>
      </c>
      <c r="L123" s="14">
        <f t="shared" si="3"/>
        <v>10</v>
      </c>
      <c r="M123" s="14">
        <f>YEAR(Tabla1[[#This Row],[FECHA]])</f>
        <v>2025</v>
      </c>
    </row>
    <row r="124" spans="1:13" hidden="1" x14ac:dyDescent="0.25">
      <c r="A124" s="15">
        <v>45937</v>
      </c>
      <c r="B124" s="14" t="s">
        <v>8</v>
      </c>
      <c r="C124" s="14" t="s">
        <v>166</v>
      </c>
      <c r="D124" s="14">
        <v>1</v>
      </c>
      <c r="E124" s="13" t="s">
        <v>219</v>
      </c>
      <c r="F124" s="66"/>
      <c r="G124" s="17"/>
      <c r="H124" s="17"/>
      <c r="I124" s="55">
        <v>7967</v>
      </c>
      <c r="J124" s="18"/>
      <c r="K124" s="14"/>
      <c r="L124" s="14">
        <f t="shared" si="3"/>
        <v>10</v>
      </c>
      <c r="M124" s="14">
        <f>YEAR(Tabla1[[#This Row],[FECHA]])</f>
        <v>2025</v>
      </c>
    </row>
    <row r="125" spans="1:13" hidden="1" x14ac:dyDescent="0.25">
      <c r="A125" s="15">
        <v>45938</v>
      </c>
      <c r="B125" s="14" t="s">
        <v>10</v>
      </c>
      <c r="C125" s="14" t="s">
        <v>54</v>
      </c>
      <c r="D125" s="14">
        <v>3</v>
      </c>
      <c r="E125" s="13" t="s">
        <v>220</v>
      </c>
      <c r="F125" s="66" t="s">
        <v>221</v>
      </c>
      <c r="G125" s="52" t="s">
        <v>222</v>
      </c>
      <c r="H125" s="52" t="s">
        <v>153</v>
      </c>
      <c r="I125" s="55">
        <v>45357</v>
      </c>
      <c r="J125" s="73">
        <v>184700</v>
      </c>
      <c r="K125" s="14"/>
      <c r="L125" s="14">
        <f t="shared" si="3"/>
        <v>10</v>
      </c>
      <c r="M125" s="14">
        <f>YEAR(Tabla1[[#This Row],[FECHA]])</f>
        <v>2025</v>
      </c>
    </row>
    <row r="126" spans="1:13" hidden="1" x14ac:dyDescent="0.25">
      <c r="A126" s="15">
        <v>45941</v>
      </c>
      <c r="B126" s="14" t="s">
        <v>10</v>
      </c>
      <c r="C126" s="14" t="s">
        <v>166</v>
      </c>
      <c r="D126" s="14">
        <v>1</v>
      </c>
      <c r="E126" s="13" t="s">
        <v>223</v>
      </c>
      <c r="F126" s="66" t="s">
        <v>224</v>
      </c>
      <c r="G126" s="17"/>
      <c r="H126" s="17"/>
      <c r="I126" s="55">
        <v>45391</v>
      </c>
      <c r="J126" s="18"/>
      <c r="K126" s="14"/>
      <c r="L126" s="14">
        <f t="shared" si="3"/>
        <v>10</v>
      </c>
      <c r="M126" s="14">
        <f>YEAR(Tabla1[[#This Row],[FECHA]])</f>
        <v>2025</v>
      </c>
    </row>
    <row r="127" spans="1:13" ht="30" hidden="1" x14ac:dyDescent="0.25">
      <c r="A127" s="15">
        <v>45944</v>
      </c>
      <c r="B127" s="14" t="s">
        <v>5</v>
      </c>
      <c r="C127" s="14" t="s">
        <v>37</v>
      </c>
      <c r="D127" s="14">
        <v>8</v>
      </c>
      <c r="E127" s="13" t="s">
        <v>118</v>
      </c>
      <c r="F127" s="66" t="s">
        <v>225</v>
      </c>
      <c r="G127" s="17"/>
      <c r="H127" s="17"/>
      <c r="I127" s="55">
        <v>16287</v>
      </c>
      <c r="J127" s="18"/>
      <c r="K127" s="14" t="s">
        <v>157</v>
      </c>
      <c r="L127" s="14">
        <f t="shared" si="3"/>
        <v>10</v>
      </c>
      <c r="M127" s="14">
        <f>YEAR(Tabla1[[#This Row],[FECHA]])</f>
        <v>2025</v>
      </c>
    </row>
    <row r="128" spans="1:13" ht="30" hidden="1" x14ac:dyDescent="0.25">
      <c r="A128" s="15">
        <v>45944</v>
      </c>
      <c r="B128" s="14" t="s">
        <v>8</v>
      </c>
      <c r="C128" s="14" t="s">
        <v>37</v>
      </c>
      <c r="D128" s="14">
        <v>8</v>
      </c>
      <c r="E128" s="13" t="s">
        <v>118</v>
      </c>
      <c r="F128" s="66" t="s">
        <v>225</v>
      </c>
      <c r="G128" s="17"/>
      <c r="H128" s="17"/>
      <c r="I128" s="55">
        <v>8020</v>
      </c>
      <c r="J128" s="18"/>
      <c r="K128" s="14" t="s">
        <v>157</v>
      </c>
      <c r="L128" s="14">
        <f t="shared" si="3"/>
        <v>10</v>
      </c>
      <c r="M128" s="14">
        <f>YEAR(Tabla1[[#This Row],[FECHA]])</f>
        <v>2025</v>
      </c>
    </row>
    <row r="129" spans="1:13" x14ac:dyDescent="0.25">
      <c r="A129" s="15">
        <v>45945</v>
      </c>
      <c r="B129" s="14" t="s">
        <v>11</v>
      </c>
      <c r="C129" s="14" t="s">
        <v>176</v>
      </c>
      <c r="D129" s="14">
        <v>1</v>
      </c>
      <c r="E129" s="66" t="s">
        <v>226</v>
      </c>
      <c r="F129" s="66" t="s">
        <v>227</v>
      </c>
      <c r="G129" s="52" t="s">
        <v>228</v>
      </c>
      <c r="H129" s="52" t="s">
        <v>153</v>
      </c>
      <c r="I129" s="55">
        <v>44560</v>
      </c>
      <c r="J129" s="73">
        <v>2538000</v>
      </c>
      <c r="K129" s="14"/>
      <c r="L129" s="14">
        <f t="shared" si="3"/>
        <v>10</v>
      </c>
      <c r="M129" s="14">
        <f>YEAR(Tabla1[[#This Row],[FECHA]])</f>
        <v>2025</v>
      </c>
    </row>
    <row r="130" spans="1:13" x14ac:dyDescent="0.25">
      <c r="A130" s="15">
        <v>42294</v>
      </c>
      <c r="B130" s="14" t="s">
        <v>11</v>
      </c>
      <c r="C130" s="14" t="s">
        <v>166</v>
      </c>
      <c r="D130" s="14">
        <v>1</v>
      </c>
      <c r="E130" s="13" t="s">
        <v>229</v>
      </c>
      <c r="F130" s="66"/>
      <c r="G130" s="17"/>
      <c r="H130" s="17"/>
      <c r="I130" s="55">
        <v>44576</v>
      </c>
      <c r="J130" s="18"/>
      <c r="K130" s="14"/>
      <c r="L130" s="14">
        <f t="shared" si="3"/>
        <v>10</v>
      </c>
      <c r="M130" s="14">
        <f>YEAR(Tabla1[[#This Row],[FECHA]])</f>
        <v>2015</v>
      </c>
    </row>
    <row r="131" spans="1:13" ht="30" hidden="1" x14ac:dyDescent="0.25">
      <c r="A131" s="15">
        <v>45950</v>
      </c>
      <c r="B131" s="14" t="s">
        <v>6</v>
      </c>
      <c r="C131" s="14" t="s">
        <v>37</v>
      </c>
      <c r="D131" s="14">
        <v>4</v>
      </c>
      <c r="E131" s="13" t="s">
        <v>118</v>
      </c>
      <c r="F131" s="66" t="s">
        <v>122</v>
      </c>
      <c r="G131" s="17"/>
      <c r="H131" s="17"/>
      <c r="I131" s="55">
        <v>37935</v>
      </c>
      <c r="J131" s="18"/>
      <c r="K131" s="14" t="s">
        <v>107</v>
      </c>
      <c r="L131" s="14">
        <f t="shared" si="3"/>
        <v>10</v>
      </c>
      <c r="M131" s="14">
        <f>YEAR(Tabla1[[#This Row],[FECHA]])</f>
        <v>2025</v>
      </c>
    </row>
    <row r="132" spans="1:13" ht="30" hidden="1" x14ac:dyDescent="0.25">
      <c r="A132" s="15">
        <v>45950</v>
      </c>
      <c r="B132" s="14" t="s">
        <v>6</v>
      </c>
      <c r="C132" s="14" t="s">
        <v>54</v>
      </c>
      <c r="D132" s="14">
        <v>8</v>
      </c>
      <c r="E132" s="13" t="s">
        <v>230</v>
      </c>
      <c r="F132" s="66" t="s">
        <v>214</v>
      </c>
      <c r="G132" s="52" t="s">
        <v>231</v>
      </c>
      <c r="H132" s="52" t="s">
        <v>153</v>
      </c>
      <c r="I132" s="55">
        <v>37935</v>
      </c>
      <c r="J132" s="73">
        <v>935000</v>
      </c>
      <c r="K132" s="14"/>
      <c r="L132" s="14">
        <f t="shared" si="3"/>
        <v>10</v>
      </c>
      <c r="M132" s="14">
        <f>YEAR(Tabla1[[#This Row],[FECHA]])</f>
        <v>2025</v>
      </c>
    </row>
    <row r="133" spans="1:13" ht="45" hidden="1" x14ac:dyDescent="0.25">
      <c r="A133" s="15">
        <v>45951</v>
      </c>
      <c r="B133" s="14" t="s">
        <v>6</v>
      </c>
      <c r="C133" s="14" t="s">
        <v>61</v>
      </c>
      <c r="D133" s="14">
        <v>8</v>
      </c>
      <c r="E133" s="68" t="s">
        <v>232</v>
      </c>
      <c r="F133" s="66" t="s">
        <v>233</v>
      </c>
      <c r="G133" s="52" t="s">
        <v>234</v>
      </c>
      <c r="H133" s="52" t="s">
        <v>153</v>
      </c>
      <c r="I133" s="55">
        <v>37935</v>
      </c>
      <c r="J133" s="73">
        <v>1626000</v>
      </c>
      <c r="K133" s="14"/>
      <c r="L133" s="14">
        <f t="shared" si="3"/>
        <v>10</v>
      </c>
      <c r="M133" s="14">
        <f>YEAR(Tabla1[[#This Row],[FECHA]])</f>
        <v>2025</v>
      </c>
    </row>
    <row r="134" spans="1:13" ht="30" hidden="1" x14ac:dyDescent="0.25">
      <c r="A134" s="15">
        <v>45952</v>
      </c>
      <c r="B134" s="14" t="s">
        <v>7</v>
      </c>
      <c r="C134" s="14" t="s">
        <v>176</v>
      </c>
      <c r="D134" s="14">
        <v>4</v>
      </c>
      <c r="E134" s="68" t="s">
        <v>235</v>
      </c>
      <c r="F134" s="66" t="s">
        <v>236</v>
      </c>
      <c r="G134" s="52" t="s">
        <v>237</v>
      </c>
      <c r="H134" s="52" t="s">
        <v>153</v>
      </c>
      <c r="I134" s="55">
        <v>19651</v>
      </c>
      <c r="J134" s="73">
        <v>8006174</v>
      </c>
      <c r="K134" s="14"/>
      <c r="L134" s="14">
        <f t="shared" si="3"/>
        <v>10</v>
      </c>
      <c r="M134" s="14">
        <f>YEAR(Tabla1[[#This Row],[FECHA]])</f>
        <v>2025</v>
      </c>
    </row>
    <row r="135" spans="1:13" ht="30" hidden="1" x14ac:dyDescent="0.25">
      <c r="A135" s="15">
        <v>45952</v>
      </c>
      <c r="B135" s="14" t="s">
        <v>7</v>
      </c>
      <c r="C135" s="14" t="s">
        <v>37</v>
      </c>
      <c r="D135" s="14"/>
      <c r="E135" s="13" t="s">
        <v>118</v>
      </c>
      <c r="F135" s="66" t="s">
        <v>122</v>
      </c>
      <c r="G135" s="17"/>
      <c r="H135" s="17"/>
      <c r="I135" s="55">
        <v>19651</v>
      </c>
      <c r="J135" s="18"/>
      <c r="K135" s="14" t="s">
        <v>107</v>
      </c>
      <c r="L135" s="14">
        <f t="shared" si="3"/>
        <v>10</v>
      </c>
      <c r="M135" s="14">
        <f>YEAR(Tabla1[[#This Row],[FECHA]])</f>
        <v>2025</v>
      </c>
    </row>
    <row r="136" spans="1:13" ht="45" x14ac:dyDescent="0.25">
      <c r="A136" s="15">
        <v>45954</v>
      </c>
      <c r="B136" s="14" t="s">
        <v>11</v>
      </c>
      <c r="C136" s="14" t="s">
        <v>48</v>
      </c>
      <c r="D136" s="14">
        <v>8</v>
      </c>
      <c r="E136" s="13" t="s">
        <v>238</v>
      </c>
      <c r="F136" s="66" t="s">
        <v>239</v>
      </c>
      <c r="G136" s="52" t="s">
        <v>240</v>
      </c>
      <c r="H136" s="52" t="s">
        <v>153</v>
      </c>
      <c r="I136" s="55">
        <v>44648</v>
      </c>
      <c r="J136" s="73">
        <v>1551766</v>
      </c>
      <c r="K136" s="14"/>
      <c r="L136" s="14">
        <f t="shared" si="3"/>
        <v>10</v>
      </c>
      <c r="M136" s="14">
        <f>YEAR(Tabla1[[#This Row],[FECHA]])</f>
        <v>2025</v>
      </c>
    </row>
    <row r="137" spans="1:13" ht="30" x14ac:dyDescent="0.25">
      <c r="A137" s="15">
        <v>45954</v>
      </c>
      <c r="B137" s="14" t="s">
        <v>11</v>
      </c>
      <c r="C137" s="14" t="s">
        <v>176</v>
      </c>
      <c r="D137" s="14">
        <v>4</v>
      </c>
      <c r="E137" s="13" t="s">
        <v>241</v>
      </c>
      <c r="F137" s="66" t="s">
        <v>242</v>
      </c>
      <c r="G137" s="52" t="s">
        <v>243</v>
      </c>
      <c r="H137" s="52" t="s">
        <v>153</v>
      </c>
      <c r="I137" s="55">
        <v>44648</v>
      </c>
      <c r="J137" s="73">
        <v>2197000</v>
      </c>
      <c r="K137" s="14"/>
      <c r="L137" s="14">
        <f t="shared" si="3"/>
        <v>10</v>
      </c>
      <c r="M137" s="14">
        <f>YEAR(Tabla1[[#This Row],[FECHA]])</f>
        <v>2025</v>
      </c>
    </row>
    <row r="138" spans="1:13" hidden="1" x14ac:dyDescent="0.25">
      <c r="A138" s="15">
        <v>45957</v>
      </c>
      <c r="B138" s="14" t="s">
        <v>9</v>
      </c>
      <c r="C138" s="14" t="s">
        <v>176</v>
      </c>
      <c r="D138" s="14">
        <v>8</v>
      </c>
      <c r="E138" s="13" t="s">
        <v>244</v>
      </c>
      <c r="F138" s="66" t="s">
        <v>245</v>
      </c>
      <c r="G138" s="52" t="s">
        <v>246</v>
      </c>
      <c r="H138" s="52" t="s">
        <v>153</v>
      </c>
      <c r="I138" s="55">
        <v>14685</v>
      </c>
      <c r="J138" s="76">
        <v>1596000</v>
      </c>
      <c r="K138" s="14"/>
      <c r="L138" s="14">
        <f t="shared" si="3"/>
        <v>10</v>
      </c>
      <c r="M138" s="14">
        <f>YEAR(Tabla1[[#This Row],[FECHA]])</f>
        <v>2025</v>
      </c>
    </row>
    <row r="139" spans="1:13" hidden="1" x14ac:dyDescent="0.25">
      <c r="A139" s="15">
        <v>45957</v>
      </c>
      <c r="B139" s="14" t="s">
        <v>9</v>
      </c>
      <c r="C139" s="14" t="s">
        <v>54</v>
      </c>
      <c r="D139" s="14">
        <v>2</v>
      </c>
      <c r="E139" s="13" t="s">
        <v>247</v>
      </c>
      <c r="F139" s="66" t="s">
        <v>248</v>
      </c>
      <c r="G139" s="52" t="s">
        <v>249</v>
      </c>
      <c r="H139" s="52" t="s">
        <v>153</v>
      </c>
      <c r="I139" s="55">
        <v>14685</v>
      </c>
      <c r="J139" s="76">
        <v>371500</v>
      </c>
      <c r="K139" s="14"/>
      <c r="L139" s="14">
        <f t="shared" si="3"/>
        <v>10</v>
      </c>
      <c r="M139" s="14">
        <f>YEAR(Tabla1[[#This Row],[FECHA]])</f>
        <v>2025</v>
      </c>
    </row>
    <row r="140" spans="1:13" ht="90" hidden="1" x14ac:dyDescent="0.25">
      <c r="A140" s="15">
        <v>45959</v>
      </c>
      <c r="B140" s="14" t="s">
        <v>10</v>
      </c>
      <c r="C140" s="14" t="s">
        <v>37</v>
      </c>
      <c r="D140" s="14">
        <v>8</v>
      </c>
      <c r="E140" s="13" t="s">
        <v>250</v>
      </c>
      <c r="F140" s="66" t="s">
        <v>156</v>
      </c>
      <c r="G140" s="17"/>
      <c r="H140" s="17"/>
      <c r="I140" s="55">
        <v>45609</v>
      </c>
      <c r="J140" s="18"/>
      <c r="K140" s="14" t="s">
        <v>157</v>
      </c>
      <c r="L140" s="14">
        <f t="shared" si="3"/>
        <v>10</v>
      </c>
      <c r="M140" s="14">
        <f>YEAR(Tabla1[[#This Row],[FECHA]])</f>
        <v>2025</v>
      </c>
    </row>
    <row r="141" spans="1:13" ht="90" hidden="1" x14ac:dyDescent="0.25">
      <c r="A141" s="15">
        <v>45960</v>
      </c>
      <c r="B141" s="14" t="s">
        <v>4</v>
      </c>
      <c r="C141" s="14" t="s">
        <v>37</v>
      </c>
      <c r="D141" s="14">
        <v>16</v>
      </c>
      <c r="E141" s="13" t="s">
        <v>251</v>
      </c>
      <c r="F141" s="66" t="s">
        <v>156</v>
      </c>
      <c r="G141" s="17"/>
      <c r="H141" s="17"/>
      <c r="I141" s="55">
        <v>58832</v>
      </c>
      <c r="J141" s="18"/>
      <c r="K141" s="14" t="s">
        <v>252</v>
      </c>
      <c r="L141" s="14">
        <f t="shared" si="3"/>
        <v>10</v>
      </c>
      <c r="M141" s="14">
        <f>YEAR(Tabla1[[#This Row],[FECHA]])</f>
        <v>2025</v>
      </c>
    </row>
    <row r="142" spans="1:13" ht="30" x14ac:dyDescent="0.25">
      <c r="A142" s="15">
        <v>45961</v>
      </c>
      <c r="B142" s="14" t="s">
        <v>11</v>
      </c>
      <c r="C142" s="14" t="s">
        <v>37</v>
      </c>
      <c r="D142" s="14">
        <v>4</v>
      </c>
      <c r="E142" s="13" t="s">
        <v>253</v>
      </c>
      <c r="F142" s="66" t="s">
        <v>122</v>
      </c>
      <c r="G142" s="17"/>
      <c r="H142" s="17"/>
      <c r="I142" s="55">
        <v>44717</v>
      </c>
      <c r="J142" s="18"/>
      <c r="K142" s="14" t="s">
        <v>107</v>
      </c>
      <c r="L142" s="14">
        <f t="shared" si="3"/>
        <v>10</v>
      </c>
      <c r="M142" s="14">
        <f>YEAR(Tabla1[[#This Row],[FECHA]])</f>
        <v>2025</v>
      </c>
    </row>
    <row r="143" spans="1:13" hidden="1" x14ac:dyDescent="0.25">
      <c r="A143" s="15">
        <v>45961</v>
      </c>
      <c r="B143" s="14" t="s">
        <v>4</v>
      </c>
      <c r="C143" s="14" t="s">
        <v>78</v>
      </c>
      <c r="D143" s="14">
        <v>2</v>
      </c>
      <c r="E143" s="13" t="s">
        <v>254</v>
      </c>
      <c r="F143" s="66" t="s">
        <v>255</v>
      </c>
      <c r="G143" s="52" t="s">
        <v>256</v>
      </c>
      <c r="H143" s="52" t="s">
        <v>153</v>
      </c>
      <c r="I143" s="55">
        <v>44717</v>
      </c>
      <c r="J143" s="73">
        <v>280000</v>
      </c>
      <c r="K143" s="14"/>
      <c r="L143" s="14">
        <f t="shared" si="3"/>
        <v>10</v>
      </c>
      <c r="M143" s="14">
        <f>YEAR(Tabla1[[#This Row],[FECHA]])</f>
        <v>2025</v>
      </c>
    </row>
    <row r="144" spans="1:13" hidden="1" x14ac:dyDescent="0.25">
      <c r="A144" s="15">
        <v>45965</v>
      </c>
      <c r="B144" s="14" t="s">
        <v>6</v>
      </c>
      <c r="C144" s="14" t="s">
        <v>48</v>
      </c>
      <c r="D144" s="14">
        <v>1</v>
      </c>
      <c r="E144" s="13" t="s">
        <v>257</v>
      </c>
      <c r="F144" s="66"/>
      <c r="G144" s="17"/>
      <c r="H144" s="17"/>
      <c r="I144" s="55">
        <v>38029</v>
      </c>
      <c r="J144" s="18"/>
      <c r="K144" s="14"/>
      <c r="L144" s="14">
        <f t="shared" si="3"/>
        <v>11</v>
      </c>
      <c r="M144" s="14">
        <f>YEAR(Tabla1[[#This Row],[FECHA]])</f>
        <v>2025</v>
      </c>
    </row>
    <row r="145" spans="1:13" hidden="1" x14ac:dyDescent="0.25">
      <c r="A145" s="15">
        <v>45967</v>
      </c>
      <c r="B145" s="14" t="s">
        <v>6</v>
      </c>
      <c r="C145" s="14" t="s">
        <v>27</v>
      </c>
      <c r="D145" s="14">
        <v>1</v>
      </c>
      <c r="E145" s="13" t="s">
        <v>258</v>
      </c>
      <c r="F145" s="66" t="s">
        <v>259</v>
      </c>
      <c r="G145" s="52" t="s">
        <v>260</v>
      </c>
      <c r="H145" s="52" t="s">
        <v>153</v>
      </c>
      <c r="I145" s="55">
        <v>38046</v>
      </c>
      <c r="J145" s="73">
        <v>262000</v>
      </c>
      <c r="K145" s="14"/>
      <c r="L145" s="14">
        <f t="shared" si="3"/>
        <v>11</v>
      </c>
      <c r="M145" s="14">
        <f>YEAR(Tabla1[[#This Row],[FECHA]])</f>
        <v>2025</v>
      </c>
    </row>
    <row r="146" spans="1:13" ht="12.75" hidden="1" customHeight="1" x14ac:dyDescent="0.25">
      <c r="A146" s="15">
        <v>45969</v>
      </c>
      <c r="B146" s="14" t="s">
        <v>10</v>
      </c>
      <c r="C146" s="14" t="s">
        <v>54</v>
      </c>
      <c r="D146" s="14">
        <v>4</v>
      </c>
      <c r="E146" s="13" t="s">
        <v>261</v>
      </c>
      <c r="F146" s="66" t="s">
        <v>262</v>
      </c>
      <c r="G146" s="52" t="s">
        <v>263</v>
      </c>
      <c r="H146" s="52" t="s">
        <v>153</v>
      </c>
      <c r="I146" s="55">
        <v>44752</v>
      </c>
      <c r="J146" s="73">
        <v>250000</v>
      </c>
      <c r="K146" s="14"/>
      <c r="L146" s="14">
        <f t="shared" si="3"/>
        <v>11</v>
      </c>
      <c r="M146" s="14">
        <f>YEAR(Tabla1[[#This Row],[FECHA]])</f>
        <v>2025</v>
      </c>
    </row>
    <row r="147" spans="1:13" x14ac:dyDescent="0.25">
      <c r="A147" s="15">
        <v>45972</v>
      </c>
      <c r="B147" s="14" t="s">
        <v>11</v>
      </c>
      <c r="C147" s="14" t="s">
        <v>48</v>
      </c>
      <c r="D147" s="14">
        <v>1</v>
      </c>
      <c r="E147" s="13" t="s">
        <v>264</v>
      </c>
      <c r="F147" s="66"/>
      <c r="G147" s="17"/>
      <c r="H147" s="17"/>
      <c r="I147" s="17">
        <v>44781</v>
      </c>
      <c r="J147" s="18"/>
      <c r="K147" s="14"/>
      <c r="L147" s="14">
        <f t="shared" si="3"/>
        <v>11</v>
      </c>
      <c r="M147" s="14">
        <f>YEAR(Tabla1[[#This Row],[FECHA]])</f>
        <v>2025</v>
      </c>
    </row>
    <row r="148" spans="1:13" hidden="1" x14ac:dyDescent="0.25">
      <c r="A148" s="15">
        <v>45972</v>
      </c>
      <c r="B148" s="14" t="s">
        <v>10</v>
      </c>
      <c r="C148" s="14" t="s">
        <v>48</v>
      </c>
      <c r="D148" s="14">
        <v>1</v>
      </c>
      <c r="E148" s="13" t="s">
        <v>265</v>
      </c>
      <c r="F148" s="66"/>
      <c r="G148" s="17"/>
      <c r="H148" s="17"/>
      <c r="I148" s="55">
        <v>45679</v>
      </c>
      <c r="J148" s="18"/>
      <c r="K148" s="14"/>
      <c r="L148" s="14">
        <f t="shared" si="3"/>
        <v>11</v>
      </c>
      <c r="M148" s="14">
        <f>YEAR(Tabla1[[#This Row],[FECHA]])</f>
        <v>2025</v>
      </c>
    </row>
    <row r="149" spans="1:13" ht="30" hidden="1" x14ac:dyDescent="0.25">
      <c r="A149" s="15">
        <v>45977</v>
      </c>
      <c r="B149" s="14" t="s">
        <v>7</v>
      </c>
      <c r="C149" s="14" t="s">
        <v>37</v>
      </c>
      <c r="D149" s="14">
        <v>4</v>
      </c>
      <c r="E149" s="13" t="s">
        <v>118</v>
      </c>
      <c r="F149" s="66" t="s">
        <v>122</v>
      </c>
      <c r="G149" s="17"/>
      <c r="H149" s="17"/>
      <c r="I149" s="55">
        <v>19994</v>
      </c>
      <c r="J149" s="18"/>
      <c r="K149" s="14" t="s">
        <v>107</v>
      </c>
      <c r="L149" s="14">
        <f t="shared" si="3"/>
        <v>11</v>
      </c>
      <c r="M149" s="14">
        <f>YEAR(Tabla1[[#This Row],[FECHA]])</f>
        <v>2025</v>
      </c>
    </row>
    <row r="150" spans="1:13" ht="30" hidden="1" x14ac:dyDescent="0.25">
      <c r="A150" s="15">
        <v>45979</v>
      </c>
      <c r="B150" s="14" t="s">
        <v>5</v>
      </c>
      <c r="C150" s="14" t="s">
        <v>37</v>
      </c>
      <c r="D150" s="14">
        <v>4</v>
      </c>
      <c r="E150" s="13" t="s">
        <v>118</v>
      </c>
      <c r="F150" s="66" t="s">
        <v>225</v>
      </c>
      <c r="G150" s="17"/>
      <c r="H150" s="17"/>
      <c r="I150" s="55">
        <v>16591</v>
      </c>
      <c r="J150" s="18"/>
      <c r="K150" s="14" t="s">
        <v>107</v>
      </c>
      <c r="L150" s="14">
        <f t="shared" si="3"/>
        <v>11</v>
      </c>
      <c r="M150" s="14">
        <f>YEAR(Tabla1[[#This Row],[FECHA]])</f>
        <v>2025</v>
      </c>
    </row>
    <row r="151" spans="1:13" hidden="1" x14ac:dyDescent="0.25">
      <c r="A151" s="15">
        <v>45982</v>
      </c>
      <c r="B151" s="14" t="s">
        <v>7</v>
      </c>
      <c r="C151" s="14" t="s">
        <v>61</v>
      </c>
      <c r="D151" s="14">
        <v>4</v>
      </c>
      <c r="E151" s="13" t="s">
        <v>266</v>
      </c>
      <c r="F151" s="66" t="s">
        <v>267</v>
      </c>
      <c r="G151" s="52" t="s">
        <v>268</v>
      </c>
      <c r="H151" s="52"/>
      <c r="I151" s="55">
        <v>20069</v>
      </c>
      <c r="J151" s="73"/>
      <c r="K151" s="14"/>
      <c r="L151" s="14">
        <f t="shared" si="3"/>
        <v>11</v>
      </c>
      <c r="M151" s="14">
        <f>YEAR(Tabla1[[#This Row],[FECHA]])</f>
        <v>2025</v>
      </c>
    </row>
    <row r="152" spans="1:13" ht="30" hidden="1" x14ac:dyDescent="0.25">
      <c r="A152" s="15">
        <v>45983</v>
      </c>
      <c r="B152" s="14" t="s">
        <v>10</v>
      </c>
      <c r="C152" s="14" t="s">
        <v>78</v>
      </c>
      <c r="D152" s="14">
        <v>32</v>
      </c>
      <c r="E152" s="13" t="s">
        <v>269</v>
      </c>
      <c r="F152" s="66" t="s">
        <v>270</v>
      </c>
      <c r="G152" s="52" t="s">
        <v>271</v>
      </c>
      <c r="H152" s="52" t="s">
        <v>153</v>
      </c>
      <c r="I152" s="55">
        <v>45724</v>
      </c>
      <c r="J152" s="73">
        <v>1154000</v>
      </c>
      <c r="K152" s="14"/>
      <c r="L152" s="14">
        <f>MONTH(A152)</f>
        <v>11</v>
      </c>
      <c r="M152" s="14">
        <f>YEAR(Tabla1[[#This Row],[FECHA]])</f>
        <v>2025</v>
      </c>
    </row>
    <row r="153" spans="1:13" hidden="1" x14ac:dyDescent="0.25">
      <c r="A153" s="15">
        <v>45983</v>
      </c>
      <c r="B153" s="9" t="s">
        <v>6</v>
      </c>
      <c r="C153" s="14" t="s">
        <v>176</v>
      </c>
      <c r="D153" s="9">
        <v>3</v>
      </c>
      <c r="E153" s="13" t="s">
        <v>272</v>
      </c>
      <c r="F153" s="66" t="s">
        <v>273</v>
      </c>
      <c r="G153" s="52" t="s">
        <v>274</v>
      </c>
      <c r="H153" s="52" t="s">
        <v>153</v>
      </c>
      <c r="I153" s="55">
        <v>45724</v>
      </c>
      <c r="J153" s="73">
        <v>2563000</v>
      </c>
      <c r="K153" s="14"/>
      <c r="L153" s="9">
        <f>MONTH(A153)</f>
        <v>11</v>
      </c>
      <c r="M153" s="14">
        <f>YEAR(Tabla1[[#This Row],[FECHA]])</f>
        <v>2025</v>
      </c>
    </row>
    <row r="154" spans="1:13" hidden="1" x14ac:dyDescent="0.25">
      <c r="A154" s="15">
        <v>45983</v>
      </c>
      <c r="B154" s="14" t="s">
        <v>6</v>
      </c>
      <c r="C154" s="14" t="s">
        <v>54</v>
      </c>
      <c r="D154" s="14">
        <v>6</v>
      </c>
      <c r="E154" s="13" t="s">
        <v>275</v>
      </c>
      <c r="F154" s="66" t="s">
        <v>276</v>
      </c>
      <c r="G154" s="52" t="s">
        <v>277</v>
      </c>
      <c r="H154" s="52" t="s">
        <v>153</v>
      </c>
      <c r="I154" s="55">
        <v>38155</v>
      </c>
      <c r="J154" s="73">
        <v>900000</v>
      </c>
      <c r="K154" s="14"/>
      <c r="L154" s="14">
        <f t="shared" si="3"/>
        <v>11</v>
      </c>
      <c r="M154" s="14">
        <f>YEAR(Tabla1[[#This Row],[FECHA]])</f>
        <v>2025</v>
      </c>
    </row>
    <row r="155" spans="1:13" hidden="1" x14ac:dyDescent="0.25">
      <c r="A155" s="15">
        <v>45985</v>
      </c>
      <c r="B155" s="14" t="s">
        <v>10</v>
      </c>
      <c r="C155" s="14" t="s">
        <v>48</v>
      </c>
      <c r="D155" s="14">
        <v>2</v>
      </c>
      <c r="E155" s="13" t="s">
        <v>278</v>
      </c>
      <c r="F155" s="66" t="s">
        <v>279</v>
      </c>
      <c r="G155" s="52" t="s">
        <v>280</v>
      </c>
      <c r="H155" s="52" t="s">
        <v>153</v>
      </c>
      <c r="I155" s="55">
        <v>45727</v>
      </c>
      <c r="J155" s="73">
        <v>2245000</v>
      </c>
      <c r="K155" s="14"/>
      <c r="L155" s="14">
        <f t="shared" si="3"/>
        <v>11</v>
      </c>
      <c r="M155" s="14">
        <f>YEAR(Tabla1[[#This Row],[FECHA]])</f>
        <v>2025</v>
      </c>
    </row>
    <row r="156" spans="1:13" ht="30" x14ac:dyDescent="0.25">
      <c r="A156" s="15">
        <v>45986</v>
      </c>
      <c r="B156" s="14" t="s">
        <v>11</v>
      </c>
      <c r="C156" s="14" t="s">
        <v>54</v>
      </c>
      <c r="D156" s="14">
        <v>2</v>
      </c>
      <c r="E156" s="13" t="s">
        <v>281</v>
      </c>
      <c r="F156" s="66" t="s">
        <v>282</v>
      </c>
      <c r="G156" s="52" t="s">
        <v>283</v>
      </c>
      <c r="H156" s="52" t="s">
        <v>153</v>
      </c>
      <c r="I156" s="55">
        <v>44911</v>
      </c>
      <c r="J156" s="73">
        <v>450000</v>
      </c>
      <c r="K156" s="14"/>
      <c r="L156" s="14">
        <f t="shared" si="3"/>
        <v>11</v>
      </c>
      <c r="M156" s="14">
        <f>YEAR(Tabla1[[#This Row],[FECHA]])</f>
        <v>2025</v>
      </c>
    </row>
    <row r="157" spans="1:13" hidden="1" x14ac:dyDescent="0.25">
      <c r="A157" s="15">
        <v>45987</v>
      </c>
      <c r="B157" s="14" t="s">
        <v>6</v>
      </c>
      <c r="C157" s="14" t="s">
        <v>166</v>
      </c>
      <c r="D157" s="14">
        <v>3</v>
      </c>
      <c r="E157" s="13" t="s">
        <v>284</v>
      </c>
      <c r="F157" s="66" t="s">
        <v>285</v>
      </c>
      <c r="G157" s="52" t="s">
        <v>286</v>
      </c>
      <c r="H157" s="52" t="s">
        <v>153</v>
      </c>
      <c r="I157" s="55">
        <v>38172</v>
      </c>
      <c r="J157" s="73">
        <v>585000</v>
      </c>
      <c r="K157" s="14"/>
      <c r="L157" s="14">
        <f t="shared" si="3"/>
        <v>11</v>
      </c>
      <c r="M157" s="14">
        <f>YEAR(Tabla1[[#This Row],[FECHA]])</f>
        <v>2025</v>
      </c>
    </row>
    <row r="158" spans="1:13" ht="30" hidden="1" x14ac:dyDescent="0.25">
      <c r="A158" s="15">
        <v>45989</v>
      </c>
      <c r="B158" s="14" t="s">
        <v>8</v>
      </c>
      <c r="C158" s="14" t="s">
        <v>37</v>
      </c>
      <c r="D158" s="14">
        <v>4</v>
      </c>
      <c r="E158" s="13" t="s">
        <v>287</v>
      </c>
      <c r="F158" s="66" t="s">
        <v>288</v>
      </c>
      <c r="G158" s="17"/>
      <c r="H158" s="17"/>
      <c r="I158" s="55">
        <v>8293</v>
      </c>
      <c r="J158" s="18"/>
      <c r="K158" s="14" t="s">
        <v>107</v>
      </c>
      <c r="L158" s="14">
        <f t="shared" si="3"/>
        <v>11</v>
      </c>
      <c r="M158" s="14">
        <f>YEAR(Tabla1[[#This Row],[FECHA]])</f>
        <v>2025</v>
      </c>
    </row>
    <row r="159" spans="1:13" x14ac:dyDescent="0.25">
      <c r="A159" s="15">
        <v>45992</v>
      </c>
      <c r="B159" s="14" t="s">
        <v>11</v>
      </c>
      <c r="C159" s="14" t="s">
        <v>61</v>
      </c>
      <c r="D159" s="14">
        <v>1</v>
      </c>
      <c r="E159" s="13" t="s">
        <v>289</v>
      </c>
      <c r="F159" s="66" t="s">
        <v>290</v>
      </c>
      <c r="G159" s="17"/>
      <c r="H159" s="17"/>
      <c r="I159" s="55">
        <v>44964</v>
      </c>
      <c r="J159" s="18"/>
      <c r="K159" s="14"/>
      <c r="L159" s="14">
        <f t="shared" si="3"/>
        <v>12</v>
      </c>
      <c r="M159" s="14">
        <f>YEAR(Tabla1[[#This Row],[FECHA]])</f>
        <v>2025</v>
      </c>
    </row>
    <row r="160" spans="1:13" ht="30" hidden="1" x14ac:dyDescent="0.25">
      <c r="A160" s="15">
        <v>45992</v>
      </c>
      <c r="B160" s="14" t="s">
        <v>6</v>
      </c>
      <c r="C160" s="14" t="s">
        <v>37</v>
      </c>
      <c r="D160" s="14">
        <v>4</v>
      </c>
      <c r="E160" s="13" t="s">
        <v>287</v>
      </c>
      <c r="F160" s="66" t="s">
        <v>122</v>
      </c>
      <c r="G160" s="17"/>
      <c r="H160" s="17"/>
      <c r="I160" s="55">
        <v>38196</v>
      </c>
      <c r="J160" s="18"/>
      <c r="K160" s="14" t="s">
        <v>107</v>
      </c>
      <c r="L160" s="14">
        <f t="shared" si="3"/>
        <v>12</v>
      </c>
      <c r="M160" s="14">
        <f>YEAR(Tabla1[[#This Row],[FECHA]])</f>
        <v>2025</v>
      </c>
    </row>
    <row r="161" spans="1:13" hidden="1" x14ac:dyDescent="0.25">
      <c r="A161" s="15">
        <v>45994</v>
      </c>
      <c r="B161" s="14" t="s">
        <v>10</v>
      </c>
      <c r="C161" s="14" t="s">
        <v>30</v>
      </c>
      <c r="D161" s="14">
        <v>32</v>
      </c>
      <c r="E161" s="13" t="s">
        <v>291</v>
      </c>
      <c r="F161" s="66" t="s">
        <v>292</v>
      </c>
      <c r="G161" s="52" t="s">
        <v>293</v>
      </c>
      <c r="H161" s="52" t="s">
        <v>153</v>
      </c>
      <c r="I161" s="55">
        <v>45837</v>
      </c>
      <c r="J161" s="73">
        <v>8340000</v>
      </c>
      <c r="K161" s="14"/>
      <c r="L161" s="14">
        <f t="shared" si="3"/>
        <v>12</v>
      </c>
      <c r="M161" s="14">
        <f>YEAR(Tabla1[[#This Row],[FECHA]])</f>
        <v>2025</v>
      </c>
    </row>
    <row r="162" spans="1:13" hidden="1" x14ac:dyDescent="0.25">
      <c r="A162" s="15">
        <v>45994</v>
      </c>
      <c r="B162" s="14" t="s">
        <v>6</v>
      </c>
      <c r="C162" s="14" t="s">
        <v>110</v>
      </c>
      <c r="D162" s="14">
        <v>1</v>
      </c>
      <c r="E162" s="13" t="s">
        <v>294</v>
      </c>
      <c r="F162" s="66" t="s">
        <v>295</v>
      </c>
      <c r="G162" s="17"/>
      <c r="H162" s="17"/>
      <c r="I162" s="55">
        <v>38206</v>
      </c>
      <c r="J162" s="18"/>
      <c r="K162" s="14"/>
      <c r="L162" s="14">
        <f t="shared" si="3"/>
        <v>12</v>
      </c>
      <c r="M162" s="14">
        <f>YEAR(Tabla1[[#This Row],[FECHA]])</f>
        <v>2025</v>
      </c>
    </row>
    <row r="163" spans="1:13" ht="30" hidden="1" x14ac:dyDescent="0.25">
      <c r="A163" s="15">
        <v>45995</v>
      </c>
      <c r="B163" s="14" t="s">
        <v>10</v>
      </c>
      <c r="C163" s="14" t="s">
        <v>30</v>
      </c>
      <c r="D163" s="14">
        <v>1</v>
      </c>
      <c r="E163" s="13" t="s">
        <v>296</v>
      </c>
      <c r="F163" s="66" t="s">
        <v>389</v>
      </c>
      <c r="G163" s="17"/>
      <c r="H163" s="17"/>
      <c r="I163" s="55">
        <v>45837</v>
      </c>
      <c r="J163" s="18"/>
      <c r="K163" s="14"/>
      <c r="L163" s="14">
        <f t="shared" si="3"/>
        <v>12</v>
      </c>
      <c r="M163" s="14">
        <f>YEAR(Tabla1[[#This Row],[FECHA]])</f>
        <v>2025</v>
      </c>
    </row>
    <row r="164" spans="1:13" hidden="1" x14ac:dyDescent="0.25">
      <c r="A164" s="15">
        <v>46000</v>
      </c>
      <c r="B164" s="9" t="s">
        <v>10</v>
      </c>
      <c r="C164" s="14" t="s">
        <v>45</v>
      </c>
      <c r="D164" s="9">
        <v>1</v>
      </c>
      <c r="E164" s="13" t="s">
        <v>297</v>
      </c>
      <c r="F164" s="66" t="s">
        <v>298</v>
      </c>
      <c r="G164" s="17"/>
      <c r="H164" s="17"/>
      <c r="I164" s="55">
        <v>45892</v>
      </c>
      <c r="J164" s="11"/>
      <c r="K164" s="14"/>
      <c r="L164" s="9">
        <f>MONTH(A164)</f>
        <v>12</v>
      </c>
      <c r="M164" s="14">
        <f>YEAR(Tabla1[[#This Row],[FECHA]])</f>
        <v>2025</v>
      </c>
    </row>
    <row r="165" spans="1:13" ht="30" hidden="1" x14ac:dyDescent="0.25">
      <c r="A165" s="15">
        <v>46001</v>
      </c>
      <c r="B165" s="14" t="s">
        <v>10</v>
      </c>
      <c r="C165" s="14" t="s">
        <v>37</v>
      </c>
      <c r="D165" s="14">
        <v>4</v>
      </c>
      <c r="E165" s="13" t="s">
        <v>287</v>
      </c>
      <c r="F165" s="66" t="s">
        <v>122</v>
      </c>
      <c r="G165" s="17"/>
      <c r="H165" s="17"/>
      <c r="I165" s="55">
        <v>45892</v>
      </c>
      <c r="J165" s="18"/>
      <c r="K165" s="14" t="s">
        <v>107</v>
      </c>
      <c r="L165" s="14">
        <f t="shared" si="3"/>
        <v>12</v>
      </c>
      <c r="M165" s="14">
        <f>YEAR(Tabla1[[#This Row],[FECHA]])</f>
        <v>2025</v>
      </c>
    </row>
    <row r="166" spans="1:13" ht="45" hidden="1" x14ac:dyDescent="0.25">
      <c r="A166" s="15">
        <v>46001</v>
      </c>
      <c r="B166" s="14" t="s">
        <v>7</v>
      </c>
      <c r="C166" s="14" t="s">
        <v>48</v>
      </c>
      <c r="D166" s="14">
        <v>8</v>
      </c>
      <c r="E166" s="13" t="s">
        <v>299</v>
      </c>
      <c r="F166" s="66" t="s">
        <v>300</v>
      </c>
      <c r="G166" s="17"/>
      <c r="H166" s="17"/>
      <c r="I166" s="55">
        <v>20356</v>
      </c>
      <c r="J166" s="18"/>
      <c r="K166" s="14"/>
      <c r="L166" s="14">
        <f t="shared" si="3"/>
        <v>12</v>
      </c>
      <c r="M166" s="14">
        <f>YEAR(Tabla1[[#This Row],[FECHA]])</f>
        <v>2025</v>
      </c>
    </row>
    <row r="167" spans="1:13" ht="60" hidden="1" x14ac:dyDescent="0.25">
      <c r="A167" s="15">
        <v>46007</v>
      </c>
      <c r="B167" s="14" t="s">
        <v>6</v>
      </c>
      <c r="C167" s="14" t="s">
        <v>40</v>
      </c>
      <c r="D167" s="14">
        <v>112</v>
      </c>
      <c r="E167" s="13" t="s">
        <v>301</v>
      </c>
      <c r="F167" s="66" t="s">
        <v>302</v>
      </c>
      <c r="G167" s="52" t="s">
        <v>303</v>
      </c>
      <c r="H167" s="52" t="s">
        <v>153</v>
      </c>
      <c r="I167" s="55">
        <v>38412</v>
      </c>
      <c r="J167" s="73">
        <v>2082500</v>
      </c>
      <c r="K167" s="14"/>
      <c r="L167" s="14">
        <f t="shared" si="3"/>
        <v>12</v>
      </c>
      <c r="M167" s="14">
        <f>YEAR(Tabla1[[#This Row],[FECHA]])</f>
        <v>2025</v>
      </c>
    </row>
    <row r="168" spans="1:13" ht="90" hidden="1" x14ac:dyDescent="0.25">
      <c r="A168" s="15">
        <v>46008</v>
      </c>
      <c r="B168" s="14" t="s">
        <v>7</v>
      </c>
      <c r="C168" s="14" t="s">
        <v>37</v>
      </c>
      <c r="D168" s="14">
        <v>8</v>
      </c>
      <c r="E168" s="13" t="s">
        <v>287</v>
      </c>
      <c r="F168" s="66" t="s">
        <v>304</v>
      </c>
      <c r="G168" s="17"/>
      <c r="H168" s="17"/>
      <c r="I168" s="55">
        <v>20441</v>
      </c>
      <c r="J168" s="18"/>
      <c r="K168" s="14" t="s">
        <v>252</v>
      </c>
      <c r="L168" s="14">
        <f t="shared" si="3"/>
        <v>12</v>
      </c>
      <c r="M168" s="14">
        <f>YEAR(Tabla1[[#This Row],[FECHA]])</f>
        <v>2025</v>
      </c>
    </row>
    <row r="169" spans="1:13" ht="30" x14ac:dyDescent="0.25">
      <c r="A169" s="15">
        <v>46008</v>
      </c>
      <c r="B169" s="14" t="s">
        <v>11</v>
      </c>
      <c r="C169" s="14" t="s">
        <v>37</v>
      </c>
      <c r="D169" s="14">
        <v>4</v>
      </c>
      <c r="E169" s="13" t="s">
        <v>305</v>
      </c>
      <c r="F169" s="66" t="s">
        <v>122</v>
      </c>
      <c r="G169" s="17"/>
      <c r="H169" s="17"/>
      <c r="I169" s="55">
        <v>45162</v>
      </c>
      <c r="J169" s="18"/>
      <c r="K169" s="14" t="s">
        <v>107</v>
      </c>
      <c r="L169" s="14">
        <f t="shared" si="3"/>
        <v>12</v>
      </c>
      <c r="M169" s="14">
        <f>YEAR(Tabla1[[#This Row],[FECHA]])</f>
        <v>2025</v>
      </c>
    </row>
    <row r="170" spans="1:13" ht="30" hidden="1" x14ac:dyDescent="0.25">
      <c r="A170" s="15">
        <v>46009</v>
      </c>
      <c r="B170" s="14" t="s">
        <v>9</v>
      </c>
      <c r="C170" s="14" t="s">
        <v>37</v>
      </c>
      <c r="D170" s="14">
        <v>4</v>
      </c>
      <c r="E170" s="13" t="s">
        <v>387</v>
      </c>
      <c r="F170" s="66" t="s">
        <v>122</v>
      </c>
      <c r="G170" s="17"/>
      <c r="H170" s="17"/>
      <c r="I170" s="55">
        <v>15169</v>
      </c>
      <c r="J170" s="18"/>
      <c r="K170" s="14" t="s">
        <v>107</v>
      </c>
      <c r="L170" s="14">
        <f t="shared" si="3"/>
        <v>12</v>
      </c>
      <c r="M170" s="14">
        <f>YEAR(Tabla1[[#This Row],[FECHA]])</f>
        <v>2025</v>
      </c>
    </row>
    <row r="171" spans="1:13" hidden="1" x14ac:dyDescent="0.25">
      <c r="A171" s="15">
        <v>46009</v>
      </c>
      <c r="B171" s="14" t="s">
        <v>10</v>
      </c>
      <c r="C171" s="14" t="s">
        <v>176</v>
      </c>
      <c r="D171" s="14">
        <v>2</v>
      </c>
      <c r="E171" s="13" t="s">
        <v>306</v>
      </c>
      <c r="F171" s="66" t="s">
        <v>386</v>
      </c>
      <c r="G171" s="52" t="s">
        <v>307</v>
      </c>
      <c r="H171" s="52" t="s">
        <v>153</v>
      </c>
      <c r="I171" s="55">
        <v>45593</v>
      </c>
      <c r="J171" s="73">
        <v>3020220</v>
      </c>
      <c r="K171" s="14"/>
      <c r="L171" s="14">
        <f t="shared" si="3"/>
        <v>12</v>
      </c>
      <c r="M171" s="14">
        <f>YEAR(Tabla1[[#This Row],[FECHA]])</f>
        <v>2025</v>
      </c>
    </row>
    <row r="172" spans="1:13" hidden="1" x14ac:dyDescent="0.25">
      <c r="A172" s="15">
        <v>46009</v>
      </c>
      <c r="B172" s="14" t="s">
        <v>9</v>
      </c>
      <c r="C172" s="14" t="s">
        <v>176</v>
      </c>
      <c r="D172" s="14">
        <v>6</v>
      </c>
      <c r="E172" s="13" t="s">
        <v>308</v>
      </c>
      <c r="F172" s="66" t="s">
        <v>309</v>
      </c>
      <c r="G172" s="52" t="s">
        <v>310</v>
      </c>
      <c r="H172" s="52" t="s">
        <v>153</v>
      </c>
      <c r="I172" s="55">
        <v>15169</v>
      </c>
      <c r="J172" s="76">
        <v>8006154</v>
      </c>
      <c r="K172" s="14"/>
      <c r="L172" s="14">
        <f t="shared" si="3"/>
        <v>12</v>
      </c>
      <c r="M172" s="14">
        <f>YEAR(Tabla1[[#This Row],[FECHA]])</f>
        <v>2025</v>
      </c>
    </row>
    <row r="173" spans="1:13" ht="30" hidden="1" x14ac:dyDescent="0.25">
      <c r="A173" s="15">
        <v>46009</v>
      </c>
      <c r="B173" s="14" t="s">
        <v>3</v>
      </c>
      <c r="C173" s="14" t="s">
        <v>37</v>
      </c>
      <c r="D173" s="14">
        <v>4</v>
      </c>
      <c r="E173" s="13" t="s">
        <v>305</v>
      </c>
      <c r="F173" s="66" t="s">
        <v>122</v>
      </c>
      <c r="G173" s="17"/>
      <c r="H173" s="17"/>
      <c r="I173" s="55">
        <v>6727</v>
      </c>
      <c r="J173" s="18"/>
      <c r="K173" s="14" t="s">
        <v>107</v>
      </c>
      <c r="L173" s="14">
        <f t="shared" ref="L173:L183" si="4">MONTH(A173)</f>
        <v>12</v>
      </c>
      <c r="M173" s="14">
        <f>YEAR(Tabla1[[#This Row],[FECHA]])</f>
        <v>2025</v>
      </c>
    </row>
    <row r="174" spans="1:13" ht="30" hidden="1" x14ac:dyDescent="0.25">
      <c r="A174" s="15">
        <v>46010</v>
      </c>
      <c r="B174" s="14" t="s">
        <v>5</v>
      </c>
      <c r="C174" s="14" t="s">
        <v>37</v>
      </c>
      <c r="D174" s="14">
        <v>4</v>
      </c>
      <c r="E174" s="13" t="s">
        <v>305</v>
      </c>
      <c r="F174" s="66" t="s">
        <v>108</v>
      </c>
      <c r="G174" s="17"/>
      <c r="H174" s="17"/>
      <c r="I174" s="55">
        <v>16839</v>
      </c>
      <c r="J174" s="18"/>
      <c r="K174" s="14" t="s">
        <v>107</v>
      </c>
      <c r="L174" s="14">
        <f t="shared" si="4"/>
        <v>12</v>
      </c>
      <c r="M174" s="14">
        <f>YEAR(Tabla1[[#This Row],[FECHA]])</f>
        <v>2025</v>
      </c>
    </row>
    <row r="175" spans="1:13" ht="30" hidden="1" x14ac:dyDescent="0.25">
      <c r="A175" s="15">
        <v>46011</v>
      </c>
      <c r="B175" s="14" t="s">
        <v>7</v>
      </c>
      <c r="C175" s="14" t="s">
        <v>48</v>
      </c>
      <c r="D175" s="14">
        <v>4</v>
      </c>
      <c r="E175" s="13" t="s">
        <v>311</v>
      </c>
      <c r="F175" s="66" t="s">
        <v>312</v>
      </c>
      <c r="G175" s="17" t="s">
        <v>313</v>
      </c>
      <c r="H175" s="17"/>
      <c r="I175" s="55">
        <v>20484</v>
      </c>
      <c r="J175" s="73"/>
      <c r="K175" s="14"/>
      <c r="L175" s="14">
        <f t="shared" si="4"/>
        <v>12</v>
      </c>
      <c r="M175" s="14">
        <f>YEAR(Tabla1[[#This Row],[FECHA]])</f>
        <v>2025</v>
      </c>
    </row>
    <row r="176" spans="1:13" hidden="1" x14ac:dyDescent="0.25">
      <c r="A176" s="15">
        <v>46011</v>
      </c>
      <c r="B176" s="14" t="s">
        <v>10</v>
      </c>
      <c r="C176" s="14" t="s">
        <v>48</v>
      </c>
      <c r="D176" s="14">
        <v>1</v>
      </c>
      <c r="E176" s="13" t="s">
        <v>314</v>
      </c>
      <c r="F176" s="66" t="s">
        <v>315</v>
      </c>
      <c r="G176" s="17"/>
      <c r="H176" s="17"/>
      <c r="I176" s="55">
        <v>45933</v>
      </c>
      <c r="J176" s="18"/>
      <c r="K176" s="14"/>
      <c r="L176" s="14">
        <f t="shared" si="4"/>
        <v>12</v>
      </c>
      <c r="M176" s="14">
        <f>YEAR(Tabla1[[#This Row],[FECHA]])</f>
        <v>2025</v>
      </c>
    </row>
    <row r="177" spans="1:13" hidden="1" x14ac:dyDescent="0.25">
      <c r="A177" s="15">
        <v>46013</v>
      </c>
      <c r="B177" s="14" t="s">
        <v>6</v>
      </c>
      <c r="C177" s="14" t="s">
        <v>40</v>
      </c>
      <c r="D177" s="14">
        <v>12</v>
      </c>
      <c r="E177" s="13" t="s">
        <v>316</v>
      </c>
      <c r="F177" s="66" t="s">
        <v>317</v>
      </c>
      <c r="G177" s="52" t="s">
        <v>303</v>
      </c>
      <c r="H177" s="52" t="s">
        <v>153</v>
      </c>
      <c r="I177" s="55">
        <v>38414</v>
      </c>
      <c r="J177" s="73">
        <v>1750000</v>
      </c>
      <c r="K177" s="14"/>
      <c r="L177" s="14">
        <f t="shared" si="4"/>
        <v>12</v>
      </c>
      <c r="M177" s="14">
        <f>YEAR(Tabla1[[#This Row],[FECHA]])</f>
        <v>2025</v>
      </c>
    </row>
    <row r="178" spans="1:13" ht="60" hidden="1" x14ac:dyDescent="0.25">
      <c r="A178" s="15">
        <v>46015</v>
      </c>
      <c r="B178" s="14" t="s">
        <v>10</v>
      </c>
      <c r="C178" s="14" t="s">
        <v>27</v>
      </c>
      <c r="D178" s="14">
        <v>12</v>
      </c>
      <c r="E178" s="13" t="s">
        <v>318</v>
      </c>
      <c r="F178" s="66" t="s">
        <v>319</v>
      </c>
      <c r="G178" s="52" t="s">
        <v>320</v>
      </c>
      <c r="H178" s="52" t="s">
        <v>153</v>
      </c>
      <c r="I178" s="55">
        <v>45976</v>
      </c>
      <c r="J178" s="20">
        <v>1372307</v>
      </c>
      <c r="K178" s="14"/>
      <c r="L178" s="14">
        <f t="shared" si="4"/>
        <v>12</v>
      </c>
      <c r="M178" s="14">
        <f>YEAR(Tabla1[[#This Row],[FECHA]])</f>
        <v>2025</v>
      </c>
    </row>
    <row r="179" spans="1:13" ht="45" hidden="1" x14ac:dyDescent="0.25">
      <c r="A179" s="15">
        <v>46015</v>
      </c>
      <c r="B179" s="14" t="s">
        <v>3</v>
      </c>
      <c r="C179" s="14" t="s">
        <v>110</v>
      </c>
      <c r="D179" s="14">
        <v>4</v>
      </c>
      <c r="E179" s="13" t="s">
        <v>321</v>
      </c>
      <c r="F179" s="66" t="s">
        <v>322</v>
      </c>
      <c r="G179" s="52" t="s">
        <v>323</v>
      </c>
      <c r="H179" s="17" t="s">
        <v>153</v>
      </c>
      <c r="I179" s="55">
        <v>6751</v>
      </c>
      <c r="J179" s="73">
        <v>450000</v>
      </c>
      <c r="K179" s="14"/>
      <c r="L179" s="14">
        <f t="shared" si="4"/>
        <v>12</v>
      </c>
      <c r="M179" s="14">
        <f>YEAR(Tabla1[[#This Row],[FECHA]])</f>
        <v>2025</v>
      </c>
    </row>
    <row r="180" spans="1:13" ht="30" hidden="1" x14ac:dyDescent="0.25">
      <c r="A180" s="15">
        <v>46018</v>
      </c>
      <c r="B180" s="14" t="s">
        <v>3</v>
      </c>
      <c r="C180" s="14" t="s">
        <v>27</v>
      </c>
      <c r="D180" s="14">
        <v>7</v>
      </c>
      <c r="E180" s="13" t="s">
        <v>318</v>
      </c>
      <c r="F180" s="66" t="s">
        <v>324</v>
      </c>
      <c r="G180" s="52" t="s">
        <v>325</v>
      </c>
      <c r="H180" s="17" t="s">
        <v>153</v>
      </c>
      <c r="I180" s="55">
        <v>6755</v>
      </c>
      <c r="J180" s="73">
        <v>1058000</v>
      </c>
      <c r="K180" s="14"/>
      <c r="L180" s="14">
        <f t="shared" si="4"/>
        <v>12</v>
      </c>
      <c r="M180" s="14">
        <f>YEAR(Tabla1[[#This Row],[FECHA]])</f>
        <v>2025</v>
      </c>
    </row>
    <row r="181" spans="1:13" hidden="1" x14ac:dyDescent="0.25">
      <c r="A181" s="15">
        <v>46018</v>
      </c>
      <c r="B181" s="14" t="s">
        <v>9</v>
      </c>
      <c r="C181" s="14" t="s">
        <v>27</v>
      </c>
      <c r="D181" s="14">
        <v>1</v>
      </c>
      <c r="E181" s="13" t="s">
        <v>326</v>
      </c>
      <c r="F181" s="66" t="s">
        <v>327</v>
      </c>
      <c r="G181" s="52" t="s">
        <v>328</v>
      </c>
      <c r="H181" s="52" t="s">
        <v>153</v>
      </c>
      <c r="I181" s="55">
        <v>15249</v>
      </c>
      <c r="J181" s="76">
        <v>954000</v>
      </c>
      <c r="K181" s="14"/>
      <c r="L181" s="14">
        <f t="shared" si="4"/>
        <v>12</v>
      </c>
      <c r="M181" s="14">
        <f>YEAR(Tabla1[[#This Row],[FECHA]])</f>
        <v>2025</v>
      </c>
    </row>
    <row r="182" spans="1:13" x14ac:dyDescent="0.25">
      <c r="A182" s="15">
        <v>46020</v>
      </c>
      <c r="B182" s="14" t="s">
        <v>11</v>
      </c>
      <c r="C182" s="14" t="s">
        <v>166</v>
      </c>
      <c r="D182" s="14">
        <v>1</v>
      </c>
      <c r="E182" s="13" t="s">
        <v>329</v>
      </c>
      <c r="F182" s="66" t="s">
        <v>330</v>
      </c>
      <c r="G182" s="52" t="s">
        <v>331</v>
      </c>
      <c r="H182" s="17" t="s">
        <v>153</v>
      </c>
      <c r="I182" s="55">
        <v>45268</v>
      </c>
      <c r="J182" s="73">
        <v>857473</v>
      </c>
      <c r="K182" s="14"/>
      <c r="L182" s="14">
        <f t="shared" si="4"/>
        <v>12</v>
      </c>
      <c r="M182" s="14">
        <f>YEAR(Tabla1[[#This Row],[FECHA]])</f>
        <v>2025</v>
      </c>
    </row>
    <row r="183" spans="1:13" ht="30" hidden="1" x14ac:dyDescent="0.25">
      <c r="A183" s="15">
        <v>46021</v>
      </c>
      <c r="B183" s="14" t="s">
        <v>6</v>
      </c>
      <c r="C183" s="14" t="s">
        <v>37</v>
      </c>
      <c r="D183" s="14">
        <v>4</v>
      </c>
      <c r="E183" s="13" t="s">
        <v>305</v>
      </c>
      <c r="F183" s="66" t="s">
        <v>122</v>
      </c>
      <c r="G183" s="17"/>
      <c r="H183" s="17"/>
      <c r="I183" s="55">
        <v>38464</v>
      </c>
      <c r="J183" s="18"/>
      <c r="K183" s="14" t="s">
        <v>107</v>
      </c>
      <c r="L183" s="14">
        <f t="shared" si="4"/>
        <v>12</v>
      </c>
      <c r="M183" s="14">
        <f>YEAR(Tabla1[[#This Row],[FECHA]])</f>
        <v>2025</v>
      </c>
    </row>
    <row r="184" spans="1:13" hidden="1" x14ac:dyDescent="0.25">
      <c r="A184" s="15"/>
      <c r="B184" s="9"/>
      <c r="C184" s="14"/>
      <c r="D184" s="9"/>
      <c r="F184" s="66"/>
      <c r="G184" s="17"/>
      <c r="H184" s="17"/>
      <c r="I184" s="57"/>
      <c r="J184" s="11"/>
      <c r="K184" s="14"/>
      <c r="L184" s="9"/>
      <c r="M184" s="14">
        <f>YEAR(Tabla1[[#This Row],[FECHA]])</f>
        <v>1900</v>
      </c>
    </row>
    <row r="185" spans="1:13" x14ac:dyDescent="0.25">
      <c r="B185" s="79" t="s">
        <v>332</v>
      </c>
      <c r="C185" s="80"/>
      <c r="D185" s="80"/>
      <c r="E185" s="81"/>
      <c r="I185" s="20"/>
      <c r="K185" s="16"/>
    </row>
    <row r="186" spans="1:13" x14ac:dyDescent="0.25">
      <c r="B186" s="79"/>
      <c r="C186" s="80"/>
      <c r="D186" s="80"/>
      <c r="E186" s="81"/>
      <c r="I186" s="20"/>
      <c r="K186" s="16"/>
    </row>
    <row r="187" spans="1:13" x14ac:dyDescent="0.25">
      <c r="B187" s="79"/>
      <c r="C187" s="80"/>
      <c r="D187" s="80"/>
      <c r="E187" s="81"/>
      <c r="I187" s="20"/>
      <c r="K187" s="16"/>
    </row>
    <row r="188" spans="1:13" ht="15.75" thickBot="1" x14ac:dyDescent="0.3">
      <c r="B188" s="82"/>
      <c r="C188" s="83"/>
      <c r="D188" s="83"/>
      <c r="E188" s="84"/>
      <c r="I188" s="20"/>
      <c r="K188" s="16"/>
    </row>
    <row r="189" spans="1:13" x14ac:dyDescent="0.25">
      <c r="I189" s="20"/>
      <c r="K189" s="16"/>
    </row>
    <row r="190" spans="1:13" x14ac:dyDescent="0.25">
      <c r="H190" s="75"/>
      <c r="I190" s="20"/>
      <c r="J190" s="78"/>
      <c r="K190" s="16"/>
    </row>
    <row r="191" spans="1:13" x14ac:dyDescent="0.25">
      <c r="I191" s="20"/>
      <c r="K191" s="16"/>
    </row>
    <row r="192" spans="1:13" x14ac:dyDescent="0.25">
      <c r="E192" s="72"/>
      <c r="I192" s="20"/>
      <c r="K192" s="16"/>
    </row>
    <row r="193" spans="9:15" x14ac:dyDescent="0.25">
      <c r="I193" s="20"/>
      <c r="K193" s="16"/>
    </row>
    <row r="199" spans="9:15" x14ac:dyDescent="0.25">
      <c r="O199" s="74"/>
    </row>
    <row r="205" spans="9:15" x14ac:dyDescent="0.25">
      <c r="J205" s="77"/>
    </row>
    <row r="208" spans="9:15" x14ac:dyDescent="0.25">
      <c r="J208" s="77"/>
    </row>
    <row r="218" spans="11:11" x14ac:dyDescent="0.25">
      <c r="K218" s="71"/>
    </row>
  </sheetData>
  <mergeCells count="1">
    <mergeCell ref="B185:E188"/>
  </mergeCells>
  <phoneticPr fontId="4" type="noConversion"/>
  <hyperlinks>
    <hyperlink ref="G90" r:id="rId1" xr:uid="{0C2ADDB6-73EF-4CEB-8BA1-E093985F5FB5}"/>
    <hyperlink ref="G91" r:id="rId2" xr:uid="{D1AC56FB-670A-4194-9CCE-9486FF3D3B69}"/>
    <hyperlink ref="G88" r:id="rId3" xr:uid="{49BBF4F7-F60E-42E5-9496-FF64A584DAAA}"/>
    <hyperlink ref="G78" r:id="rId4" xr:uid="{915DB79B-646F-4A32-8B38-9DD633319A31}"/>
    <hyperlink ref="G86" r:id="rId5" xr:uid="{9C0BCE2C-6FC3-4975-991A-4428410294AA}"/>
    <hyperlink ref="G92" r:id="rId6" xr:uid="{E3A7467A-B572-432D-8EB7-6F7DCCB73296}"/>
    <hyperlink ref="G93" r:id="rId7" xr:uid="{CF5382A8-878F-42E3-82BF-7266073D7911}"/>
    <hyperlink ref="G95" r:id="rId8" xr:uid="{A8D62FAD-FDA0-4D74-8E7B-3BD02FC087C6}"/>
    <hyperlink ref="G98" r:id="rId9" xr:uid="{15BC30E5-0328-4E20-BE50-EC8B1B22F510}"/>
    <hyperlink ref="G102" r:id="rId10" xr:uid="{EA0414A9-96EF-4868-B4C6-256970968F18}"/>
    <hyperlink ref="G100" r:id="rId11" xr:uid="{8792D99B-2A82-416A-B918-78247A846B0C}"/>
    <hyperlink ref="G106" r:id="rId12" xr:uid="{BB720F05-AE59-4BE8-909B-745C8383C07C}"/>
    <hyperlink ref="G108" r:id="rId13" xr:uid="{1920155A-849C-49DA-871C-7BB554A7EA02}"/>
    <hyperlink ref="G113" r:id="rId14" xr:uid="{8B6EFEE1-C926-4635-B7B9-291AB967E77F}"/>
    <hyperlink ref="G110" r:id="rId15" xr:uid="{6BD3E604-BA16-4BC5-89CA-88293EF3D59A}"/>
    <hyperlink ref="G112" r:id="rId16" xr:uid="{DB5A6F2B-3983-41DA-94B9-E78F4355EF42}"/>
    <hyperlink ref="G114" r:id="rId17" xr:uid="{81EB4CDD-4FA9-4863-853D-29C5C3A25DA9}"/>
    <hyperlink ref="G117" r:id="rId18" xr:uid="{0C067F58-1C7C-4917-AF5D-4A944AB81374}"/>
    <hyperlink ref="G119" r:id="rId19" xr:uid="{2F4EEC28-FE41-4BA2-A3A7-9A93107084A5}"/>
    <hyperlink ref="G116" r:id="rId20" display="COT No. 251059" xr:uid="{309B35D8-D681-41CA-88D2-29271FE10B7D}"/>
    <hyperlink ref="G121" r:id="rId21" xr:uid="{0A839D8B-2050-40E1-A868-9D893ABC19BD}"/>
    <hyperlink ref="G122" r:id="rId22" xr:uid="{AEF8BCDE-0700-4641-8254-C23BC3DAA39A}"/>
    <hyperlink ref="G129" r:id="rId23" xr:uid="{CF7C48AD-28EA-4F68-888E-B0E97DA2706C}"/>
    <hyperlink ref="G134" r:id="rId24" xr:uid="{CAF9D977-C7C4-4E38-9681-9EC8E5B15862}"/>
    <hyperlink ref="G138" r:id="rId25" xr:uid="{4586BE11-A3DD-4FC3-9495-481F5BFD8B87}"/>
    <hyperlink ref="G139" r:id="rId26" xr:uid="{12F0CE8C-29EE-4E46-8DA4-9E06A92EB5DE}"/>
    <hyperlink ref="G133" r:id="rId27" xr:uid="{B0E25CE2-6682-4540-A94D-6B9EA0721F47}"/>
    <hyperlink ref="G132" r:id="rId28" xr:uid="{0F71D91D-6812-405F-8D5F-DEA03809ABE0}"/>
    <hyperlink ref="G137" r:id="rId29" xr:uid="{32936EED-46BC-4991-8FC2-40AC3B6E5674}"/>
    <hyperlink ref="G136" r:id="rId30" xr:uid="{0E45927A-EA52-41E1-9489-075E46506F33}"/>
    <hyperlink ref="G143" r:id="rId31" xr:uid="{29EE8046-4F02-4527-8E12-D163D95D615F}"/>
    <hyperlink ref="G125" r:id="rId32" xr:uid="{ED011C5C-131B-407E-92B3-E3A1B413BDEB}"/>
    <hyperlink ref="G145" r:id="rId33" xr:uid="{BF1EF553-9FC3-439E-8782-39B1A7180CC7}"/>
    <hyperlink ref="G146" r:id="rId34" xr:uid="{9774B9B8-43DF-46BC-988F-412878FF7DDA}"/>
    <hyperlink ref="G151" r:id="rId35" xr:uid="{25290CFC-5207-49BB-9924-4E7900DF551C}"/>
    <hyperlink ref="G152" r:id="rId36" xr:uid="{0E7F330A-B015-475F-86FA-3451105719B0}"/>
    <hyperlink ref="G154" r:id="rId37" xr:uid="{03268095-8C88-4C0C-AAF3-0E8263F19303}"/>
    <hyperlink ref="G153" r:id="rId38" xr:uid="{8D8452B3-132A-4E97-9170-70CA70AF919E}"/>
    <hyperlink ref="G155" r:id="rId39" xr:uid="{B76EA847-DEA8-4174-A373-0CCCDE7ABF99}"/>
    <hyperlink ref="G156" r:id="rId40" xr:uid="{3E8AC94C-7467-4105-9A6F-08191CABC7C5}"/>
    <hyperlink ref="G157" r:id="rId41" xr:uid="{02568B9D-CACD-4B4F-AE7D-E15EB83B41BF}"/>
    <hyperlink ref="G161" r:id="rId42" xr:uid="{E04FEF40-DD31-4010-AD06-C05F7F3503A1}"/>
    <hyperlink ref="G177" r:id="rId43" xr:uid="{2A4D7240-BC4A-43CE-AB06-5B0AD9CFAE3B}"/>
    <hyperlink ref="G179" r:id="rId44" xr:uid="{770FC6D5-CED3-4D12-98B5-B976CECF8D8F}"/>
    <hyperlink ref="G180" r:id="rId45" xr:uid="{60687074-9F34-4DD6-BA4C-934FEB4EB22C}"/>
    <hyperlink ref="G172" r:id="rId46" xr:uid="{91AD8E71-A7F8-4422-A712-BCF4575636AE}"/>
    <hyperlink ref="G181" r:id="rId47" xr:uid="{89C65F9E-71A7-4439-9E23-7D4CD9FB4655}"/>
    <hyperlink ref="G51" r:id="rId48" xr:uid="{EB329476-98EC-41C7-98BF-64517901841E}"/>
    <hyperlink ref="G167" r:id="rId49" xr:uid="{DA0AF612-65B3-4256-92E7-D4C1CE9BD2E1}"/>
    <hyperlink ref="G182" r:id="rId50" xr:uid="{F71DE810-8E51-465C-AF3B-0985CF38BB1B}"/>
    <hyperlink ref="G178" r:id="rId51" xr:uid="{C17C6820-FBBB-45F0-B70A-8E325E7104A6}"/>
    <hyperlink ref="G171" r:id="rId52" xr:uid="{009F2C1E-337F-4BB0-AD78-08E8A7E8A75A}"/>
  </hyperlinks>
  <pageMargins left="0.7" right="0.7" top="0.75" bottom="0.75" header="0.3" footer="0.3"/>
  <tableParts count="1">
    <tablePart r:id="rId53"/>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2000000}">
          <x14:formula1>
            <xm:f>LISTA!$B$2:$B$16</xm:f>
          </x14:formula1>
          <xm:sqref>C2:C97 C99:C100 C102:C183</xm:sqref>
        </x14:dataValidation>
        <x14:dataValidation type="list" allowBlank="1" showInputMessage="1" showErrorMessage="1" xr:uid="{3F0742A5-E83C-4E04-B7DF-DE2BFC428F5A}">
          <x14:formula1>
            <xm:f>LISTA!$B$2:$B$14</xm:f>
          </x14:formula1>
          <xm:sqref>C98 C101</xm:sqref>
        </x14:dataValidation>
        <x14:dataValidation type="list" allowBlank="1" showInputMessage="1" showErrorMessage="1" xr:uid="{00000000-0002-0000-0000-000000000000}">
          <x14:formula1>
            <xm:f>LISTA!$C$2:$C$7</xm:f>
          </x14:formula1>
          <xm:sqref>K2:K184</xm:sqref>
        </x14:dataValidation>
        <x14:dataValidation type="list" allowBlank="1" showInputMessage="1" showErrorMessage="1" xr:uid="{00000000-0002-0000-0000-000001000000}">
          <x14:formula1>
            <xm:f>LISTA!$A$2:$A$13</xm:f>
          </x14:formula1>
          <xm:sqref>B2:B184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F294A-E5CC-48F9-9473-BFE93FCEDB9A}">
  <dimension ref="A1:M10"/>
  <sheetViews>
    <sheetView workbookViewId="0"/>
  </sheetViews>
  <sheetFormatPr baseColWidth="10" defaultColWidth="11.42578125" defaultRowHeight="15" x14ac:dyDescent="0.25"/>
  <cols>
    <col min="1" max="1" width="13.85546875" bestFit="1" customWidth="1"/>
    <col min="2" max="2" width="12.85546875" customWidth="1"/>
  </cols>
  <sheetData>
    <row r="1" spans="1:13" x14ac:dyDescent="0.25">
      <c r="B1" t="s">
        <v>333</v>
      </c>
      <c r="C1" t="s">
        <v>334</v>
      </c>
      <c r="D1" t="s">
        <v>335</v>
      </c>
      <c r="E1" t="s">
        <v>336</v>
      </c>
      <c r="F1" t="s">
        <v>337</v>
      </c>
      <c r="G1" t="s">
        <v>338</v>
      </c>
      <c r="H1" t="s">
        <v>339</v>
      </c>
      <c r="I1" t="s">
        <v>340</v>
      </c>
      <c r="J1" t="s">
        <v>341</v>
      </c>
      <c r="K1" t="s">
        <v>342</v>
      </c>
      <c r="L1" t="s">
        <v>343</v>
      </c>
      <c r="M1" t="s">
        <v>344</v>
      </c>
    </row>
    <row r="2" spans="1:13" x14ac:dyDescent="0.25">
      <c r="A2" s="2" t="s">
        <v>3</v>
      </c>
      <c r="B2" s="12">
        <f>SUMIFS(DATA!$J1:$J183,DATA!$B1:$B183,$A1,DATA!$L1:$L183,#REF!)</f>
        <v>0</v>
      </c>
      <c r="C2" s="12"/>
      <c r="D2" s="12"/>
      <c r="E2" s="12"/>
      <c r="F2" s="12"/>
      <c r="G2" s="12"/>
      <c r="H2" s="12"/>
      <c r="I2" s="12"/>
      <c r="J2" s="12"/>
      <c r="K2" s="12"/>
      <c r="L2" s="12"/>
      <c r="M2" s="12"/>
    </row>
    <row r="3" spans="1:13" x14ac:dyDescent="0.25">
      <c r="A3" s="2" t="s">
        <v>9</v>
      </c>
      <c r="B3" s="12">
        <f>SUMIFS(DATA!$J3:$J183,DATA!$B3:$B183,$A3,DATA!$L3:$L183,B$1)</f>
        <v>0</v>
      </c>
      <c r="C3" s="12"/>
      <c r="D3" s="12"/>
      <c r="E3" s="12"/>
      <c r="F3" s="12"/>
      <c r="G3" s="12"/>
      <c r="H3" s="12"/>
      <c r="I3" s="12"/>
      <c r="J3" s="12"/>
      <c r="K3" s="12"/>
      <c r="L3" s="12"/>
      <c r="M3" s="12"/>
    </row>
    <row r="4" spans="1:13" x14ac:dyDescent="0.25">
      <c r="A4" s="2" t="s">
        <v>4</v>
      </c>
      <c r="B4" s="12">
        <f>SUMIFS(DATA!$J4:$J183,DATA!$B4:$B183,$A4,DATA!$L4:$L183,B$1)</f>
        <v>0</v>
      </c>
      <c r="C4" s="12"/>
      <c r="D4" s="12"/>
      <c r="E4" s="12"/>
      <c r="F4" s="12"/>
      <c r="G4" s="12"/>
      <c r="H4" s="12"/>
      <c r="I4" s="12"/>
      <c r="J4" s="12"/>
      <c r="K4" s="12"/>
      <c r="L4" s="12"/>
      <c r="M4" s="12"/>
    </row>
    <row r="5" spans="1:13" x14ac:dyDescent="0.25">
      <c r="A5" s="2" t="s">
        <v>10</v>
      </c>
      <c r="B5" s="12">
        <f>SUMIFS(DATA!$J5:$J183,DATA!$B5:$B183,$A5,DATA!$L5:$L183,B$1)</f>
        <v>0</v>
      </c>
      <c r="C5" s="12"/>
      <c r="D5" s="12"/>
      <c r="E5" s="12"/>
      <c r="F5" s="12"/>
      <c r="G5" s="12"/>
      <c r="H5" s="12"/>
      <c r="I5" s="12"/>
      <c r="J5" s="12"/>
      <c r="K5" s="12"/>
      <c r="L5" s="12"/>
      <c r="M5" s="12"/>
    </row>
    <row r="6" spans="1:13" x14ac:dyDescent="0.25">
      <c r="A6" s="2" t="s">
        <v>11</v>
      </c>
      <c r="B6" s="12">
        <f>SUMIFS(DATA!$J6:$J183,DATA!$B6:$B183,$A6,DATA!$L6:$L183,B$1)</f>
        <v>0</v>
      </c>
      <c r="C6" s="12"/>
      <c r="D6" s="12"/>
      <c r="E6" s="12"/>
      <c r="F6" s="12"/>
      <c r="G6" s="12"/>
      <c r="H6" s="12"/>
      <c r="I6" s="12"/>
      <c r="J6" s="12"/>
      <c r="K6" s="12"/>
      <c r="L6" s="12"/>
      <c r="M6" s="12"/>
    </row>
    <row r="7" spans="1:13" x14ac:dyDescent="0.25">
      <c r="A7" s="2" t="s">
        <v>5</v>
      </c>
      <c r="B7" s="12">
        <f>SUMIFS(DATA!$J7:$J183,DATA!$B7:$B183,$A7,DATA!$L7:$L183,B$1)</f>
        <v>0</v>
      </c>
      <c r="C7" s="12"/>
      <c r="D7" s="12"/>
      <c r="E7" s="12"/>
      <c r="F7" s="12"/>
      <c r="G7" s="12"/>
      <c r="H7" s="12"/>
      <c r="I7" s="12"/>
      <c r="J7" s="12"/>
      <c r="K7" s="12"/>
      <c r="L7" s="12"/>
      <c r="M7" s="12"/>
    </row>
    <row r="8" spans="1:13" x14ac:dyDescent="0.25">
      <c r="A8" s="2" t="s">
        <v>6</v>
      </c>
      <c r="B8" s="12">
        <f>SUMIFS(DATA!$J8:$J183,DATA!$B8:$B183,$A8,DATA!$L8:$L183,B$1)</f>
        <v>0</v>
      </c>
      <c r="C8" s="12"/>
      <c r="D8" s="12"/>
      <c r="E8" s="12"/>
      <c r="F8" s="12"/>
      <c r="G8" s="12"/>
      <c r="H8" s="12"/>
      <c r="I8" s="12"/>
      <c r="J8" s="12"/>
      <c r="K8" s="12"/>
      <c r="L8" s="12"/>
      <c r="M8" s="12"/>
    </row>
    <row r="9" spans="1:13" x14ac:dyDescent="0.25">
      <c r="A9" s="2" t="s">
        <v>7</v>
      </c>
      <c r="B9" s="12">
        <f>SUMIFS(DATA!$J9:$J183,DATA!$B9:$B183,$A9,DATA!$L9:$L183,B$1)</f>
        <v>0</v>
      </c>
      <c r="C9" s="12"/>
      <c r="D9" s="12"/>
      <c r="E9" s="12"/>
      <c r="F9" s="12"/>
      <c r="G9" s="12"/>
      <c r="H9" s="12"/>
      <c r="I9" s="12"/>
      <c r="J9" s="12"/>
      <c r="K9" s="12"/>
      <c r="L9" s="12"/>
      <c r="M9" s="12"/>
    </row>
    <row r="10" spans="1:13" x14ac:dyDescent="0.25">
      <c r="A10" s="2" t="s">
        <v>8</v>
      </c>
      <c r="B10" s="12">
        <f>SUMIFS(DATA!$J10:$J183,DATA!$B10:$B183,$A10,DATA!$L10:$L183,B$1)</f>
        <v>0</v>
      </c>
      <c r="C10" s="12"/>
      <c r="D10" s="12"/>
      <c r="E10" s="12"/>
      <c r="F10" s="12"/>
      <c r="G10" s="12"/>
      <c r="H10" s="12"/>
      <c r="I10" s="12"/>
      <c r="J10" s="12"/>
      <c r="K10" s="12"/>
      <c r="L10" s="12"/>
      <c r="M10"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O61"/>
  <sheetViews>
    <sheetView topLeftCell="A44" zoomScale="115" zoomScaleNormal="115" workbookViewId="0">
      <selection activeCell="D49" sqref="D49"/>
    </sheetView>
  </sheetViews>
  <sheetFormatPr baseColWidth="10" defaultColWidth="0" defaultRowHeight="15" zeroHeight="1" x14ac:dyDescent="0.25"/>
  <cols>
    <col min="1" max="1" width="11.5703125" style="23" customWidth="1"/>
    <col min="2" max="2" width="21.7109375" style="23" bestFit="1" customWidth="1"/>
    <col min="3" max="3" width="14.140625" style="23" customWidth="1"/>
    <col min="4" max="4" width="9.85546875" style="23" customWidth="1"/>
    <col min="5" max="5" width="9.5703125" style="23" customWidth="1"/>
    <col min="6" max="6" width="17" style="23" bestFit="1" customWidth="1"/>
    <col min="7" max="7" width="14" style="23" bestFit="1" customWidth="1"/>
    <col min="8" max="8" width="10.85546875" style="23" customWidth="1"/>
    <col min="9" max="11" width="11.140625" style="23" customWidth="1"/>
    <col min="12" max="12" width="14.5703125" style="23" bestFit="1" customWidth="1"/>
    <col min="13" max="13" width="11.5703125" style="23" customWidth="1"/>
    <col min="14" max="14" width="11.5703125" style="22" hidden="1" customWidth="1"/>
    <col min="15" max="15" width="14.42578125" style="22" hidden="1" customWidth="1"/>
    <col min="16" max="16384" width="11.5703125" style="22" hidden="1"/>
  </cols>
  <sheetData>
    <row r="1" spans="1:13" x14ac:dyDescent="0.25">
      <c r="A1" s="21"/>
      <c r="B1" s="21"/>
      <c r="C1" s="21"/>
      <c r="D1" s="21"/>
      <c r="E1" s="21"/>
      <c r="F1" s="21"/>
      <c r="G1" s="21"/>
      <c r="H1" s="21"/>
      <c r="I1" s="21"/>
      <c r="J1" s="21"/>
      <c r="K1" s="21"/>
      <c r="L1" s="21"/>
      <c r="M1" s="21"/>
    </row>
    <row r="2" spans="1:13" ht="23.25" x14ac:dyDescent="0.35">
      <c r="A2" s="21"/>
      <c r="B2" s="21"/>
      <c r="C2" s="85" t="s">
        <v>345</v>
      </c>
      <c r="D2" s="85"/>
      <c r="E2" s="85"/>
      <c r="F2" s="85"/>
      <c r="G2" s="85"/>
      <c r="H2" s="85"/>
      <c r="I2" s="85"/>
      <c r="J2" s="85"/>
      <c r="K2" s="21"/>
      <c r="L2" s="21"/>
      <c r="M2" s="21"/>
    </row>
    <row r="3" spans="1:13" x14ac:dyDescent="0.25">
      <c r="A3" s="21"/>
      <c r="B3" s="21"/>
      <c r="C3" s="21"/>
      <c r="D3" s="21"/>
      <c r="E3" s="21"/>
      <c r="F3" s="21"/>
      <c r="G3" s="21"/>
      <c r="H3" s="21"/>
      <c r="I3" s="21"/>
      <c r="J3" s="21"/>
      <c r="K3" s="21"/>
      <c r="L3" s="21"/>
      <c r="M3" s="21"/>
    </row>
    <row r="4" spans="1:13" x14ac:dyDescent="0.25">
      <c r="A4" s="21"/>
      <c r="B4" s="88"/>
      <c r="C4" s="88"/>
      <c r="D4" s="21"/>
      <c r="E4" s="21"/>
      <c r="F4" s="21"/>
      <c r="G4" s="21"/>
      <c r="H4" s="21"/>
      <c r="I4" s="21"/>
      <c r="J4" s="21"/>
      <c r="K4" s="21"/>
      <c r="L4" s="21"/>
      <c r="M4" s="21"/>
    </row>
    <row r="5" spans="1:13" x14ac:dyDescent="0.25">
      <c r="A5" s="21"/>
      <c r="B5" s="88"/>
      <c r="C5" s="88"/>
      <c r="D5" s="21"/>
      <c r="E5" s="21"/>
      <c r="F5" s="21"/>
      <c r="G5" s="21"/>
      <c r="H5" s="21"/>
      <c r="I5" s="21"/>
      <c r="J5" s="21"/>
      <c r="K5" s="21"/>
      <c r="L5" s="21"/>
      <c r="M5" s="21"/>
    </row>
    <row r="6" spans="1:13" x14ac:dyDescent="0.25">
      <c r="A6" s="21"/>
      <c r="B6" s="30" t="s">
        <v>346</v>
      </c>
      <c r="C6" s="23">
        <v>12</v>
      </c>
      <c r="D6" s="21"/>
      <c r="E6" s="21"/>
      <c r="F6" s="21"/>
      <c r="G6" s="21"/>
      <c r="H6" s="21"/>
      <c r="I6" s="21"/>
      <c r="J6" s="21"/>
      <c r="K6" s="21"/>
      <c r="L6" s="21"/>
      <c r="M6" s="21"/>
    </row>
    <row r="7" spans="1:13" x14ac:dyDescent="0.25">
      <c r="A7" s="21"/>
      <c r="B7" s="21"/>
      <c r="C7" s="21"/>
      <c r="D7" s="21"/>
      <c r="E7" s="21"/>
      <c r="F7" s="21"/>
      <c r="G7" s="21"/>
      <c r="H7" s="21"/>
      <c r="I7" s="21"/>
      <c r="J7" s="21"/>
      <c r="K7" s="21"/>
      <c r="L7" s="21"/>
      <c r="M7" s="21"/>
    </row>
    <row r="8" spans="1:13" ht="23.25" x14ac:dyDescent="0.35">
      <c r="A8" s="3"/>
      <c r="B8" s="29" t="s">
        <v>347</v>
      </c>
      <c r="C8" s="28">
        <f>L14/L17</f>
        <v>13.2</v>
      </c>
      <c r="D8" s="21"/>
      <c r="E8" s="21"/>
      <c r="F8" s="21"/>
      <c r="G8" s="21"/>
      <c r="H8" s="21"/>
      <c r="I8" s="21"/>
      <c r="J8" s="21"/>
      <c r="K8" s="21"/>
      <c r="L8" s="21"/>
      <c r="M8" s="21"/>
    </row>
    <row r="9" spans="1:13" ht="26.1" customHeight="1" x14ac:dyDescent="0.3">
      <c r="A9" s="21"/>
      <c r="B9" s="29" t="s">
        <v>348</v>
      </c>
      <c r="C9" s="86">
        <f>L18/L13</f>
        <v>0.96071428571428574</v>
      </c>
      <c r="D9" s="21"/>
      <c r="E9" s="21"/>
      <c r="F9" s="21"/>
      <c r="G9" s="21"/>
      <c r="H9" s="21"/>
      <c r="I9" s="21"/>
      <c r="J9" s="21"/>
      <c r="K9" s="21"/>
      <c r="L9" s="21"/>
      <c r="M9" s="21"/>
    </row>
    <row r="10" spans="1:13" x14ac:dyDescent="0.25">
      <c r="A10" s="21"/>
      <c r="B10" s="3" t="s">
        <v>349</v>
      </c>
      <c r="C10" s="86"/>
      <c r="D10" s="21"/>
      <c r="E10" s="21"/>
      <c r="F10" s="21"/>
      <c r="G10" s="21"/>
      <c r="H10" s="21"/>
      <c r="I10" s="21"/>
      <c r="J10" s="21"/>
      <c r="K10" s="21"/>
      <c r="L10" s="21"/>
      <c r="M10" s="21"/>
    </row>
    <row r="11" spans="1:13" x14ac:dyDescent="0.25">
      <c r="A11" s="21"/>
      <c r="B11" s="21"/>
      <c r="C11" s="21"/>
      <c r="D11" s="21"/>
      <c r="E11" s="21"/>
      <c r="F11" s="21"/>
      <c r="G11" s="21"/>
      <c r="H11" s="21"/>
      <c r="I11" s="21"/>
      <c r="J11" s="21"/>
      <c r="K11" s="21"/>
      <c r="L11" s="21"/>
      <c r="M11" s="21"/>
    </row>
    <row r="12" spans="1:13" x14ac:dyDescent="0.25">
      <c r="A12" s="21"/>
      <c r="B12" s="33" t="s">
        <v>350</v>
      </c>
      <c r="C12" s="60" t="s">
        <v>3</v>
      </c>
      <c r="D12" s="60" t="s">
        <v>9</v>
      </c>
      <c r="E12" s="60" t="s">
        <v>4</v>
      </c>
      <c r="F12" s="60" t="s">
        <v>10</v>
      </c>
      <c r="G12" s="60" t="s">
        <v>11</v>
      </c>
      <c r="H12" s="60" t="s">
        <v>5</v>
      </c>
      <c r="I12" s="60" t="s">
        <v>6</v>
      </c>
      <c r="J12" s="60" t="s">
        <v>7</v>
      </c>
      <c r="K12" s="60" t="s">
        <v>8</v>
      </c>
      <c r="L12" s="60" t="s">
        <v>351</v>
      </c>
      <c r="M12" s="21"/>
    </row>
    <row r="13" spans="1:13" x14ac:dyDescent="0.25">
      <c r="A13" s="21"/>
      <c r="B13" s="3" t="s">
        <v>352</v>
      </c>
      <c r="C13" s="61">
        <v>480</v>
      </c>
      <c r="D13" s="61">
        <v>480</v>
      </c>
      <c r="E13" s="61">
        <v>480</v>
      </c>
      <c r="F13" s="61">
        <v>480</v>
      </c>
      <c r="G13" s="61">
        <v>720</v>
      </c>
      <c r="H13" s="61">
        <v>720</v>
      </c>
      <c r="I13" s="61">
        <v>480</v>
      </c>
      <c r="J13" s="61">
        <v>720</v>
      </c>
      <c r="K13" s="61">
        <v>480</v>
      </c>
      <c r="L13" s="61">
        <f>SUM(C13:K13)</f>
        <v>5040</v>
      </c>
      <c r="M13" s="21"/>
    </row>
    <row r="14" spans="1:13" x14ac:dyDescent="0.25">
      <c r="A14" s="21"/>
      <c r="B14" s="5" t="s">
        <v>353</v>
      </c>
      <c r="C14" s="62">
        <f>SUMIFS(DATA!$D$2:$D$183,DATA!$B$2:$B$183,RESULTADOS!C12,DATA!$L$2:$L$183,RESULTADOS!$C$6,DATA!$C$2:$C$183,"&lt;&gt;REP. PLANIFICADO",DATA!$C$2:$C$183,"&lt;&gt;MTTO PREVENTIVO")</f>
        <v>11</v>
      </c>
      <c r="D14" s="62">
        <f>SUMIFS(DATA!$D$2:$D$183,DATA!$B$2:$B$183,RESULTADOS!D12,DATA!$L$2:$L$183,RESULTADOS!$C$6,DATA!$C$2:$C$183,"&lt;&gt;REP. PLANIFICADO",DATA!$C$2:$C$183,"&lt;&gt;MTTO PREVENTIVO")</f>
        <v>1</v>
      </c>
      <c r="E14" s="62">
        <f>SUMIFS(DATA!$D$2:$D$183,DATA!$B$2:$B$183,RESULTADOS!E12,DATA!$L$2:$L$183,RESULTADOS!$C$6,DATA!$C$2:$C$183,"&lt;&gt;REP. PLANIFICADO",DATA!$C$2:$C$183,"&lt;&gt;MTTO PREVENTIVO")</f>
        <v>0</v>
      </c>
      <c r="F14" s="62">
        <f>SUMIFS(DATA!$D$2:$D$183,DATA!$B$2:$B$183,RESULTADOS!F12,DATA!$L$2:$L$183,RESULTADOS!$C$6,DATA!$C$2:$C$183,"&lt;&gt;REP. PLANIFICADO",DATA!$C$2:$C$183,"&lt;&gt;MTTO PREVENTIVO")</f>
        <v>47</v>
      </c>
      <c r="G14" s="62">
        <f>SUMIFS(DATA!$D$2:$D$183,DATA!$B$2:$B$183,RESULTADOS!G12,DATA!$L$2:$L$183,RESULTADOS!$C$6,DATA!$C$2:$C$183,"&lt;&gt;REP. PLANIFICADO",DATA!$C$2:$C$183,"&lt;&gt;MTTO PREVENTIVO")</f>
        <v>2</v>
      </c>
      <c r="H14" s="62">
        <f>SUMIFS(DATA!$D$2:$D$183,DATA!$B$2:$B$183,RESULTADOS!H12,DATA!$L$2:$L$183,RESULTADOS!$C$6,DATA!$C$2:$C$183,"&lt;&gt;REP. PLANIFICADO",DATA!$C$2:$C$183,"&lt;&gt;MTTO PREVENTIVO")</f>
        <v>0</v>
      </c>
      <c r="I14" s="62">
        <f>SUMIFS(DATA!$D$2:$D$183,DATA!$B$2:$B$183,RESULTADOS!I12,DATA!$L$2:$L$183,RESULTADOS!$C$6,DATA!$C$2:$C$183,"&lt;&gt;REP. PLANIFICADO",DATA!$C$2:$C$183,"&lt;&gt;MTTO PREVENTIVO")</f>
        <v>125</v>
      </c>
      <c r="J14" s="62">
        <f>SUMIFS(DATA!$D$2:$D$183,DATA!$B$2:$B$183,RESULTADOS!J12,DATA!$L$2:$L$183,RESULTADOS!$C$6,DATA!$C$2:$C$183,"&lt;&gt;REP. PLANIFICADO",DATA!$C$2:$C$183,"&lt;&gt;MTTO PREVENTIVO")</f>
        <v>12</v>
      </c>
      <c r="K14" s="62">
        <f>SUMIFS(DATA!$D$2:$D$183,DATA!$B$2:$B$183,RESULTADOS!K12,DATA!$L$2:$L$183,RESULTADOS!$C$6,DATA!$C$2:$C$183,"&lt;&gt;REP. PLANIFICADO",DATA!$C$2:$C$183,"&lt;&gt;MTTO PREVENTIVO")</f>
        <v>0</v>
      </c>
      <c r="L14" s="62">
        <f>SUM(C14:K14)</f>
        <v>198</v>
      </c>
      <c r="M14" s="21"/>
    </row>
    <row r="15" spans="1:13" x14ac:dyDescent="0.25">
      <c r="A15" s="21"/>
      <c r="B15" s="3" t="s">
        <v>354</v>
      </c>
      <c r="C15" s="61">
        <f>SUMIFS(DATA!$D$2:$D$183,DATA!$B$2:$B$183,RESULTADOS!C12,DATA!$L$2:$L$183,RESULTADOS!$C$6,DATA!$C$2:$C$183,"MTTO PREVENTIVO")+SUMIFS(DATA!$D$2:$D$183,DATA!$B$2:$B$183,RESULTADOS!C12,DATA!$L$2:$L$183,RESULTADOS!$C$6,DATA!$C$2:$C$183,"REP. PLANIFICADO")</f>
        <v>4</v>
      </c>
      <c r="D15" s="61">
        <f>SUMIFS(DATA!$D$2:$D$183,DATA!$B$2:$B$183,RESULTADOS!D12,DATA!$L$2:$L$183,RESULTADOS!$C$6,DATA!$C$2:$C$183,"MTTO PREVENTIVO")+SUMIFS(DATA!$D$2:$D$183,DATA!$B$2:$B$183,RESULTADOS!D12,DATA!$L$2:$L$183,RESULTADOS!$C$6,DATA!$C$2:$C$183,"REP. PLANIFICADO")</f>
        <v>10</v>
      </c>
      <c r="E15" s="61">
        <f>SUMIFS(DATA!$D$2:$D$183,DATA!$B$2:$B$183,RESULTADOS!E12,DATA!$L$2:$L$183,RESULTADOS!$C$6,DATA!$C$2:$C$183,"MTTO PREVENTIVO")+SUMIFS(DATA!$D$2:$D$183,DATA!$B$2:$B$183,RESULTADOS!E12,DATA!$L$2:$L$183,RESULTADOS!$C$6,DATA!$C$2:$C$183,"REP. PLANIFICADO")</f>
        <v>0</v>
      </c>
      <c r="F15" s="61">
        <f>SUMIFS(DATA!$D$2:$D$183,DATA!$B$2:$B$183,RESULTADOS!F12,DATA!$L$2:$L$183,RESULTADOS!$C$6,DATA!$C$2:$C$183,"MTTO PREVENTIVO")+SUMIFS(DATA!$D$2:$D$183,DATA!$B$2:$B$183,RESULTADOS!F12,DATA!$L$2:$L$183,RESULTADOS!$C$6,DATA!$C$2:$C$183,"REP. PLANIFICADO")</f>
        <v>6</v>
      </c>
      <c r="G15" s="61">
        <f>SUMIFS(DATA!$D$2:$D$183,DATA!$B$2:$B$183,RESULTADOS!G12,DATA!$L$2:$L$183,RESULTADOS!$C$6,DATA!$C$2:$C$183,"MTTO PREVENTIVO")+SUMIFS(DATA!$D$2:$D$183,DATA!$B$2:$B$183,RESULTADOS!G12,DATA!$L$2:$L$183,RESULTADOS!$C$6,DATA!$C$2:$C$183,"REP. PLANIFICADO")</f>
        <v>4</v>
      </c>
      <c r="H15" s="61">
        <f>SUMIFS(DATA!$D$2:$D$183,DATA!$B$2:$B$183,RESULTADOS!H12,DATA!$L$2:$L$183,RESULTADOS!$C$6,DATA!$C$2:$C$183,"MTTO PREVENTIVO")+SUMIFS(DATA!$D$2:$D$183,DATA!$B$2:$B$183,RESULTADOS!H12,DATA!$L$2:$L$183,RESULTADOS!$C$6,DATA!$C$2:$C$183,"REP. PLANIFICADO")</f>
        <v>4</v>
      </c>
      <c r="I15" s="61">
        <f>SUMIFS(DATA!$D$2:$D$183,DATA!$B$2:$B$183,RESULTADOS!I12,DATA!$L$2:$L$183,RESULTADOS!$C$6,DATA!$C$2:$C$183,"MTTO PREVENTIVO")+SUMIFS(DATA!$D$2:$D$183,DATA!$B$2:$B$183,RESULTADOS!I12,DATA!$L$2:$L$183,RESULTADOS!$C$6,DATA!$C$2:$C$183,"REP. PLANIFICADO")</f>
        <v>8</v>
      </c>
      <c r="J15" s="61">
        <f>SUMIFS(DATA!$D$2:$D$183,DATA!$B$2:$B$183,RESULTADOS!J12,DATA!$L$2:$L$183,RESULTADOS!$C$6,DATA!$C$2:$C$183,"MTTO PREVENTIVO")+SUMIFS(DATA!$D$2:$D$183,DATA!$B$2:$B$183,RESULTADOS!J12,DATA!$L$2:$L$183,RESULTADOS!$C$6,DATA!$C$2:$C$183,"REP. PLANIFICADO")</f>
        <v>8</v>
      </c>
      <c r="K15" s="61">
        <f>SUMIFS(DATA!$D$2:$D$183,DATA!$B$2:$B$183,RESULTADOS!K12,DATA!$L$2:$L$183,RESULTADOS!$C$6,DATA!$C$2:$C$183,"MTTO PREVENTIVO")+SUMIFS(DATA!$D$2:$D$183,DATA!$B$2:$B$183,RESULTADOS!K12,DATA!$L$2:$L$183,RESULTADOS!$C$6,DATA!$C$2:$C$183,"REP. PLANIFICADO")</f>
        <v>0</v>
      </c>
      <c r="L15" s="61">
        <f>SUM(C15:K15)</f>
        <v>44</v>
      </c>
      <c r="M15" s="21"/>
    </row>
    <row r="16" spans="1:13" x14ac:dyDescent="0.25">
      <c r="A16" s="21"/>
      <c r="B16" s="59" t="s">
        <v>355</v>
      </c>
      <c r="C16" s="62">
        <f>+SUMIFS(DATA!$D$2:$D$183,DATA!$B$2:$B$183,RESULTADOS!C12,DATA!$L$2:$L$183,RESULTADOS!$C$6,DATA!$C$2:$C$183,"REP. PROGRAMADO")</f>
        <v>0</v>
      </c>
      <c r="D16" s="62">
        <f>SUMIFS(DATA!$D$2:$D$183,DATA!$B$2:$B$183,RESULTADOS!D12,DATA!$L$2:$L$183,RESULTADOS!$C$6)</f>
        <v>11</v>
      </c>
      <c r="E16" s="62">
        <f>SUMIFS(DATA!$D$2:$D$183,DATA!$B$2:$B$183,RESULTADOS!E12,DATA!$L$2:$L$183,RESULTADOS!$C$6)</f>
        <v>0</v>
      </c>
      <c r="F16" s="62">
        <f>SUMIFS(DATA!$D$2:$D$183,DATA!$B$2:$B$183,RESULTADOS!F12,DATA!$L$2:$L$183,RESULTADOS!$C$6)</f>
        <v>53</v>
      </c>
      <c r="G16" s="62">
        <f>SUMIFS(DATA!$D$2:$D$183,DATA!$B$2:$B$183,RESULTADOS!G12,DATA!$L$2:$L$183,RESULTADOS!$C$6)</f>
        <v>6</v>
      </c>
      <c r="H16" s="62">
        <f>SUMIFS(DATA!$D$2:$D$183,DATA!$B$2:$B$183,RESULTADOS!H12,DATA!$L$2:$L$183,RESULTADOS!$C$6)</f>
        <v>4</v>
      </c>
      <c r="I16" s="62">
        <f>SUMIFS(DATA!$D$2:$D$183,DATA!$B$2:$B$183,RESULTADOS!I12,DATA!$L$2:$L$183,RESULTADOS!$C$6)</f>
        <v>133</v>
      </c>
      <c r="J16" s="62">
        <f>SUMIFS(DATA!$D$2:$D$183,DATA!$B$2:$B$183,RESULTADOS!J12,DATA!$L$2:$L$183,RESULTADOS!$C$6)</f>
        <v>20</v>
      </c>
      <c r="K16" s="62">
        <f>SUMIFS(DATA!$D$2:$D$183,DATA!$B$2:$B$183,RESULTADOS!K12,DATA!$L$2:$L$183,RESULTADOS!$C$6)</f>
        <v>0</v>
      </c>
      <c r="L16" s="62">
        <f>SUM(C16:K16)</f>
        <v>227</v>
      </c>
      <c r="M16" s="21"/>
    </row>
    <row r="17" spans="1:13" x14ac:dyDescent="0.25">
      <c r="A17" s="21"/>
      <c r="B17" s="3" t="s">
        <v>356</v>
      </c>
      <c r="C17" s="61">
        <f>COUNTIFS(DATA!$B$2:$B$183,RESULTADOS!C12,DATA!$L$2:$L$183,RESULTADOS!$C$6,DATA!$C$2:$C$183,"&lt;&gt;MTTO PREVENTIVO",DATA!$C$2:$C$183,"&lt;&gt;REP. PLANIFICADO")</f>
        <v>2</v>
      </c>
      <c r="D17" s="61">
        <f>COUNTIFS(DATA!$B$2:$B$183,RESULTADOS!D12,DATA!$L$2:$L$183,RESULTADOS!$C$6,DATA!$C$2:$C$183,"&lt;&gt;MTTO PREVENTIVO",DATA!$C$2:$C$183,"&lt;&gt;REP. PLANIFICADO")</f>
        <v>1</v>
      </c>
      <c r="E17" s="61">
        <f>COUNTIFS(DATA!$B$2:$B$183,RESULTADOS!E12,DATA!$L$2:$L$183,RESULTADOS!$C$6,DATA!$C$2:$C$183,"&lt;&gt;MTTO PREVENTIVO",DATA!$C$2:$C$183,"&lt;&gt;REP. PLANIFICADO")</f>
        <v>0</v>
      </c>
      <c r="F17" s="61">
        <f>COUNTIFS(DATA!$B$2:$B$183,RESULTADOS!F12,DATA!$L$2:$L$183,RESULTADOS!$C$6,DATA!$C$2:$C$183,"&lt;&gt;MTTO PREVENTIVO",DATA!$C$2:$C$183,"&lt;&gt;REP. PLANIFICADO")</f>
        <v>5</v>
      </c>
      <c r="G17" s="61">
        <f>COUNTIFS(DATA!$B$2:$B$183,RESULTADOS!G12,DATA!$L$2:$L$183,RESULTADOS!$C$6,DATA!$C$2:$C$183,"&lt;&gt;MTTO PREVENTIVO",DATA!$C$2:$C$183,"&lt;&gt;REP. PLANIFICADO")</f>
        <v>2</v>
      </c>
      <c r="H17" s="61">
        <f>COUNTIFS(DATA!$B$2:$B$183,RESULTADOS!H12,DATA!$L$2:$L$183,RESULTADOS!$C$6,DATA!$C$2:$C$183,"&lt;&gt;MTTO PREVENTIVO",DATA!$C$2:$C$183,"&lt;&gt;REP. PLANIFICADO")</f>
        <v>0</v>
      </c>
      <c r="I17" s="61">
        <f>COUNTIFS(DATA!$B$2:$B$183,RESULTADOS!I12,DATA!$L$2:$L$183,RESULTADOS!$C$6,DATA!$C$2:$C$183,"&lt;&gt;MTTO PREVENTIVO",DATA!$C$2:$C$183,"&lt;&gt;REP. PLANIFICADO")</f>
        <v>3</v>
      </c>
      <c r="J17" s="61">
        <f>COUNTIFS(DATA!$B$2:$B$183,RESULTADOS!J12,DATA!$L$2:$L$183,RESULTADOS!$C$6,DATA!$C$2:$C$183,"&lt;&gt;MTTO PREVENTIVO",DATA!$C$2:$C$183,"&lt;&gt;REP. PLANIFICADO")</f>
        <v>2</v>
      </c>
      <c r="K17" s="61">
        <f>COUNTIFS(DATA!$B$2:$B$183,RESULTADOS!K12,DATA!$L$2:$L$183,RESULTADOS!$C$6,DATA!$C$2:$C$183,"&lt;&gt;MTTO PREVENTIVO",DATA!$C$2:$C$183,"&lt;&gt;REP. PLANIFICADO")</f>
        <v>0</v>
      </c>
      <c r="L17" s="61">
        <f>SUM(C17:K17)</f>
        <v>15</v>
      </c>
      <c r="M17" s="21"/>
    </row>
    <row r="18" spans="1:13" x14ac:dyDescent="0.25">
      <c r="A18" s="21"/>
      <c r="B18" s="5" t="s">
        <v>357</v>
      </c>
      <c r="C18" s="62">
        <f t="shared" ref="C18:K18" si="0">C13-C14</f>
        <v>469</v>
      </c>
      <c r="D18" s="62">
        <f t="shared" si="0"/>
        <v>479</v>
      </c>
      <c r="E18" s="62">
        <f t="shared" si="0"/>
        <v>480</v>
      </c>
      <c r="F18" s="62">
        <f t="shared" si="0"/>
        <v>433</v>
      </c>
      <c r="G18" s="62">
        <f t="shared" si="0"/>
        <v>718</v>
      </c>
      <c r="H18" s="62">
        <f t="shared" si="0"/>
        <v>720</v>
      </c>
      <c r="I18" s="62">
        <f t="shared" si="0"/>
        <v>355</v>
      </c>
      <c r="J18" s="62">
        <f t="shared" si="0"/>
        <v>708</v>
      </c>
      <c r="K18" s="62">
        <f t="shared" si="0"/>
        <v>480</v>
      </c>
      <c r="L18" s="62">
        <f t="shared" ref="L18" si="1">SUM(C18:K18)</f>
        <v>4842</v>
      </c>
      <c r="M18" s="21"/>
    </row>
    <row r="19" spans="1:13" x14ac:dyDescent="0.25">
      <c r="A19" s="21"/>
      <c r="B19" s="58" t="s">
        <v>348</v>
      </c>
      <c r="C19" s="63">
        <f t="shared" ref="C19:K19" si="2">C18/C13</f>
        <v>0.9770833333333333</v>
      </c>
      <c r="D19" s="63">
        <f t="shared" si="2"/>
        <v>0.99791666666666667</v>
      </c>
      <c r="E19" s="63">
        <f t="shared" si="2"/>
        <v>1</v>
      </c>
      <c r="F19" s="63">
        <f t="shared" si="2"/>
        <v>0.90208333333333335</v>
      </c>
      <c r="G19" s="63">
        <f t="shared" si="2"/>
        <v>0.99722222222222223</v>
      </c>
      <c r="H19" s="63">
        <f t="shared" si="2"/>
        <v>1</v>
      </c>
      <c r="I19" s="63">
        <f t="shared" si="2"/>
        <v>0.73958333333333337</v>
      </c>
      <c r="J19" s="63">
        <f t="shared" si="2"/>
        <v>0.98333333333333328</v>
      </c>
      <c r="K19" s="63">
        <f t="shared" si="2"/>
        <v>1</v>
      </c>
      <c r="L19" s="64"/>
      <c r="M19" s="21"/>
    </row>
    <row r="20" spans="1:13" x14ac:dyDescent="0.25">
      <c r="A20" s="21"/>
      <c r="B20" s="21"/>
      <c r="C20" s="21"/>
      <c r="D20" s="21"/>
      <c r="E20" s="21"/>
      <c r="F20" s="21"/>
      <c r="G20" s="21"/>
      <c r="H20" s="21"/>
      <c r="I20" s="21"/>
      <c r="J20" s="21"/>
      <c r="K20" s="21"/>
      <c r="L20" s="21"/>
      <c r="M20" s="21"/>
    </row>
    <row r="21" spans="1:13" x14ac:dyDescent="0.25">
      <c r="A21" s="21"/>
      <c r="B21" s="21"/>
      <c r="C21" s="21"/>
      <c r="D21" s="21"/>
      <c r="E21" s="21"/>
      <c r="F21" s="21"/>
      <c r="G21" s="21"/>
      <c r="H21" s="21"/>
      <c r="I21" s="21"/>
      <c r="J21" s="21"/>
      <c r="K21" s="21"/>
      <c r="L21" s="21"/>
      <c r="M21" s="21"/>
    </row>
    <row r="22" spans="1:13" x14ac:dyDescent="0.25">
      <c r="A22" s="21"/>
      <c r="B22" s="21"/>
      <c r="C22" s="21"/>
      <c r="D22" s="21"/>
      <c r="E22" s="21"/>
      <c r="F22" s="21"/>
      <c r="G22" s="21"/>
      <c r="H22" s="21"/>
      <c r="I22" s="21"/>
      <c r="J22" s="21"/>
      <c r="K22" s="21"/>
      <c r="L22" s="21"/>
      <c r="M22" s="21"/>
    </row>
    <row r="23" spans="1:13" x14ac:dyDescent="0.25">
      <c r="A23" s="21"/>
      <c r="B23" s="21"/>
      <c r="C23" s="21"/>
      <c r="D23" s="21"/>
      <c r="E23" s="21"/>
      <c r="F23" s="21"/>
      <c r="G23" s="21"/>
      <c r="H23" s="21"/>
      <c r="I23" s="21"/>
      <c r="J23" s="21"/>
      <c r="K23" s="21"/>
      <c r="L23" s="21"/>
      <c r="M23" s="21"/>
    </row>
    <row r="24" spans="1:13" x14ac:dyDescent="0.25">
      <c r="A24" s="21"/>
      <c r="B24" s="21"/>
      <c r="C24" s="21"/>
      <c r="D24" s="21"/>
      <c r="E24" s="21"/>
      <c r="F24" s="21"/>
      <c r="G24" s="21"/>
      <c r="H24" s="21"/>
      <c r="I24" s="21"/>
      <c r="J24" s="21"/>
      <c r="K24" s="21"/>
      <c r="L24" s="21"/>
      <c r="M24" s="21"/>
    </row>
    <row r="25" spans="1:13" x14ac:dyDescent="0.25">
      <c r="A25" s="21"/>
      <c r="B25" s="21"/>
      <c r="C25" s="21"/>
      <c r="D25" s="21"/>
      <c r="E25" s="21"/>
      <c r="F25" s="21"/>
      <c r="G25" s="21"/>
      <c r="H25" s="21"/>
      <c r="I25" s="21"/>
      <c r="J25" s="21"/>
      <c r="K25" s="21"/>
      <c r="L25" s="21"/>
      <c r="M25" s="21"/>
    </row>
    <row r="26" spans="1:13" x14ac:dyDescent="0.25">
      <c r="A26" s="21"/>
      <c r="B26" s="21"/>
      <c r="C26" s="21"/>
      <c r="D26" s="21"/>
      <c r="E26" s="21"/>
      <c r="F26" s="21"/>
      <c r="G26" s="21"/>
      <c r="H26" s="21"/>
      <c r="I26" s="21"/>
      <c r="J26" s="21"/>
      <c r="K26" s="21"/>
      <c r="L26" s="21"/>
      <c r="M26" s="21"/>
    </row>
    <row r="27" spans="1:13" x14ac:dyDescent="0.25">
      <c r="A27" s="21"/>
      <c r="B27" s="21"/>
      <c r="C27" s="21"/>
      <c r="D27" s="21"/>
      <c r="E27" s="21"/>
      <c r="F27" s="21"/>
      <c r="G27" s="21"/>
      <c r="H27" s="21"/>
      <c r="I27" s="21"/>
      <c r="J27" s="21"/>
      <c r="K27" s="21"/>
      <c r="L27" s="21"/>
      <c r="M27" s="21"/>
    </row>
    <row r="28" spans="1:13" x14ac:dyDescent="0.25">
      <c r="A28" s="21"/>
      <c r="B28" s="21"/>
      <c r="C28" s="21"/>
      <c r="D28" s="21"/>
      <c r="E28" s="21"/>
      <c r="F28" s="21"/>
      <c r="G28" s="21"/>
      <c r="H28" s="21"/>
      <c r="I28" s="21"/>
      <c r="J28" s="21"/>
      <c r="K28" s="21"/>
      <c r="L28" s="21"/>
      <c r="M28" s="21"/>
    </row>
    <row r="29" spans="1:13" x14ac:dyDescent="0.25">
      <c r="A29" s="21"/>
      <c r="B29" s="21"/>
      <c r="C29" s="21"/>
      <c r="D29" s="21"/>
      <c r="E29" s="21"/>
      <c r="F29" s="21"/>
      <c r="G29" s="21"/>
      <c r="H29" s="21"/>
      <c r="I29" s="21"/>
      <c r="J29" s="21"/>
      <c r="K29" s="21"/>
      <c r="L29" s="21"/>
      <c r="M29" s="21"/>
    </row>
    <row r="30" spans="1:13" x14ac:dyDescent="0.25">
      <c r="A30" s="21"/>
      <c r="B30" s="21"/>
      <c r="C30" s="21"/>
      <c r="D30" s="21"/>
      <c r="E30" s="21"/>
      <c r="F30" s="21"/>
      <c r="G30" s="21"/>
      <c r="H30" s="21"/>
      <c r="I30" s="21"/>
      <c r="J30" s="21"/>
      <c r="K30" s="21"/>
      <c r="L30" s="21"/>
      <c r="M30" s="21"/>
    </row>
    <row r="31" spans="1:13" x14ac:dyDescent="0.25">
      <c r="A31" s="21"/>
      <c r="B31" s="21"/>
      <c r="C31" s="21"/>
      <c r="D31" s="21"/>
      <c r="E31" s="21"/>
      <c r="F31" s="21"/>
      <c r="G31" s="21"/>
      <c r="H31" s="21"/>
      <c r="I31" s="21"/>
      <c r="J31" s="21"/>
      <c r="K31" s="21"/>
      <c r="L31" s="21"/>
      <c r="M31" s="21"/>
    </row>
    <row r="32" spans="1:13" x14ac:dyDescent="0.25">
      <c r="A32" s="21"/>
      <c r="B32" s="21"/>
      <c r="C32" s="21"/>
      <c r="D32" s="21"/>
      <c r="E32" s="21"/>
      <c r="F32" s="21"/>
      <c r="G32" s="21"/>
      <c r="H32" s="21"/>
      <c r="I32" s="21"/>
      <c r="J32" s="21"/>
      <c r="K32" s="21"/>
      <c r="L32" s="21"/>
      <c r="M32" s="21"/>
    </row>
    <row r="33" spans="1:13" x14ac:dyDescent="0.25">
      <c r="A33" s="21"/>
      <c r="B33" s="21"/>
      <c r="C33" s="21"/>
      <c r="D33" s="21"/>
      <c r="E33" s="21"/>
      <c r="F33" s="21"/>
      <c r="G33" s="21"/>
      <c r="H33" s="21"/>
      <c r="I33" s="21"/>
      <c r="J33" s="21"/>
      <c r="K33" s="21"/>
      <c r="L33" s="21"/>
      <c r="M33" s="21"/>
    </row>
    <row r="34" spans="1:13" x14ac:dyDescent="0.25">
      <c r="A34" s="21"/>
      <c r="B34" s="21"/>
      <c r="C34" s="21"/>
      <c r="D34" s="21"/>
      <c r="E34" s="21"/>
      <c r="F34" s="21"/>
      <c r="G34" s="21"/>
      <c r="H34" s="21"/>
      <c r="I34" s="21"/>
      <c r="J34" s="21"/>
      <c r="K34" s="21"/>
      <c r="L34" s="21"/>
      <c r="M34" s="21"/>
    </row>
    <row r="35" spans="1:13" x14ac:dyDescent="0.25">
      <c r="A35" s="21"/>
      <c r="B35" s="24" t="s">
        <v>0</v>
      </c>
      <c r="C35" s="24" t="s">
        <v>348</v>
      </c>
      <c r="D35" s="24" t="s">
        <v>347</v>
      </c>
      <c r="E35" s="21"/>
      <c r="F35" s="21"/>
      <c r="G35" s="21"/>
      <c r="H35" s="21"/>
      <c r="I35" s="21"/>
      <c r="J35" s="21"/>
      <c r="K35" s="21"/>
      <c r="L35" s="21"/>
      <c r="M35" s="21"/>
    </row>
    <row r="36" spans="1:13" x14ac:dyDescent="0.25">
      <c r="A36" s="21"/>
      <c r="B36" s="25" t="s">
        <v>358</v>
      </c>
      <c r="C36" s="26"/>
      <c r="D36" s="26"/>
      <c r="E36" s="21"/>
      <c r="F36" s="7" t="s">
        <v>16</v>
      </c>
      <c r="G36" s="23" t="s">
        <v>9</v>
      </c>
      <c r="H36" s="21"/>
      <c r="I36" s="21"/>
      <c r="J36" s="21"/>
      <c r="K36" s="21"/>
      <c r="L36" s="21"/>
      <c r="M36" s="21"/>
    </row>
    <row r="37" spans="1:13" x14ac:dyDescent="0.25">
      <c r="A37" s="21"/>
      <c r="B37" s="25" t="s">
        <v>359</v>
      </c>
      <c r="C37" s="26"/>
      <c r="D37" s="26"/>
      <c r="E37" s="21"/>
      <c r="F37" s="21"/>
      <c r="G37" s="21"/>
      <c r="H37" s="21"/>
      <c r="I37" s="21"/>
      <c r="J37" s="21"/>
      <c r="K37" s="21"/>
      <c r="L37" s="21"/>
      <c r="M37" s="21"/>
    </row>
    <row r="38" spans="1:13" x14ac:dyDescent="0.25">
      <c r="A38" s="21"/>
      <c r="B38" s="25" t="s">
        <v>360</v>
      </c>
      <c r="C38" s="26"/>
      <c r="D38" s="26"/>
      <c r="E38" s="21"/>
      <c r="F38" s="4" t="s">
        <v>361</v>
      </c>
      <c r="G38" s="4" t="s">
        <v>362</v>
      </c>
      <c r="H38" s="21"/>
      <c r="I38" s="21"/>
      <c r="J38" s="21"/>
      <c r="K38" s="21"/>
      <c r="L38" s="21"/>
      <c r="M38" s="21"/>
    </row>
    <row r="39" spans="1:13" x14ac:dyDescent="0.25">
      <c r="A39" s="21"/>
      <c r="B39" s="31" t="s">
        <v>363</v>
      </c>
      <c r="C39" s="54">
        <v>0.95</v>
      </c>
      <c r="D39" s="32">
        <v>13.2</v>
      </c>
      <c r="E39" s="21"/>
      <c r="F39" s="8" t="s">
        <v>75</v>
      </c>
      <c r="G39" s="8">
        <f>SUMIFS(DATA!$D$2:$D$183,DATA!$B$2:$B$183,RESULTADOS!$G$36,DATA!$L$2:$L$183,RESULTADOS!$C$6,DATA!$C$2:$C$183,RESULTADOS!F39)</f>
        <v>0</v>
      </c>
      <c r="H39" s="21"/>
      <c r="I39" s="21"/>
      <c r="J39" s="21"/>
      <c r="K39" s="21"/>
      <c r="L39" s="21"/>
      <c r="M39" s="21"/>
    </row>
    <row r="40" spans="1:13" x14ac:dyDescent="0.25">
      <c r="A40" s="21"/>
      <c r="B40" s="31" t="s">
        <v>364</v>
      </c>
      <c r="C40" s="54">
        <v>0.89</v>
      </c>
      <c r="D40" s="32">
        <v>33.799999999999997</v>
      </c>
      <c r="E40" s="21"/>
      <c r="F40" s="5" t="s">
        <v>40</v>
      </c>
      <c r="G40" s="5">
        <f>SUMIFS(DATA!$D$2:$D$183,DATA!$B$2:$B$183,RESULTADOS!$G$36,DATA!$L$2:$L$183,RESULTADOS!$C$6,DATA!$C$2:$C$183,RESULTADOS!F40)</f>
        <v>0</v>
      </c>
      <c r="H40" s="21"/>
      <c r="I40" s="21"/>
      <c r="J40" s="21"/>
      <c r="K40" s="21"/>
      <c r="L40" s="21"/>
      <c r="M40" s="21"/>
    </row>
    <row r="41" spans="1:13" x14ac:dyDescent="0.25">
      <c r="A41" s="21"/>
      <c r="B41" s="31" t="s">
        <v>365</v>
      </c>
      <c r="C41" s="54">
        <v>0.95</v>
      </c>
      <c r="D41" s="32">
        <v>25.3</v>
      </c>
      <c r="E41" s="21"/>
      <c r="F41" s="8" t="s">
        <v>48</v>
      </c>
      <c r="G41" s="8">
        <f>SUMIFS(DATA!$D$2:$D$183,DATA!$B$2:$B$183,RESULTADOS!$G$36,DATA!$L$2:$L$183,RESULTADOS!$C$6,DATA!$C$2:$C$183,RESULTADOS!F41)</f>
        <v>0</v>
      </c>
      <c r="H41" s="21"/>
      <c r="I41" s="21"/>
      <c r="J41" s="21"/>
      <c r="K41" s="21"/>
      <c r="L41" s="21"/>
      <c r="M41" s="21"/>
    </row>
    <row r="42" spans="1:13" x14ac:dyDescent="0.25">
      <c r="A42" s="21"/>
      <c r="B42" s="31" t="s">
        <v>366</v>
      </c>
      <c r="C42" s="54">
        <v>0.95</v>
      </c>
      <c r="D42" s="32">
        <v>14.18</v>
      </c>
      <c r="E42" s="21"/>
      <c r="F42" s="5" t="s">
        <v>45</v>
      </c>
      <c r="G42" s="5">
        <f>SUMIFS(DATA!$D$2:$D$183,DATA!$B$2:$B$183,RESULTADOS!$G$36,DATA!$L$2:$L$183,RESULTADOS!$C$6,DATA!$C$2:$C$183,RESULTADOS!F42)</f>
        <v>0</v>
      </c>
      <c r="H42" s="21"/>
      <c r="I42" s="21"/>
      <c r="J42" s="21"/>
      <c r="K42" s="21"/>
      <c r="L42" s="21"/>
      <c r="M42" s="21"/>
    </row>
    <row r="43" spans="1:13" x14ac:dyDescent="0.25">
      <c r="A43" s="21"/>
      <c r="B43" s="25" t="s">
        <v>367</v>
      </c>
      <c r="C43" s="53">
        <v>0.97</v>
      </c>
      <c r="D43" s="26">
        <v>29.33</v>
      </c>
      <c r="E43" s="21"/>
      <c r="F43" s="8" t="s">
        <v>27</v>
      </c>
      <c r="G43" s="8">
        <f>SUMIFS(DATA!$D$2:$D$183,DATA!$B$2:$B$183,RESULTADOS!$G$36,DATA!$L$2:$L$183,RESULTADOS!$C$6,DATA!$C$2:$C$183,RESULTADOS!F43)</f>
        <v>1</v>
      </c>
      <c r="H43" s="21"/>
      <c r="I43" s="21"/>
      <c r="J43" s="21"/>
      <c r="K43" s="21"/>
      <c r="L43" s="21"/>
      <c r="M43" s="21"/>
    </row>
    <row r="44" spans="1:13" x14ac:dyDescent="0.25">
      <c r="A44" s="21"/>
      <c r="B44" s="25" t="s">
        <v>368</v>
      </c>
      <c r="C44" s="53">
        <v>0.99</v>
      </c>
      <c r="D44" s="26">
        <v>5.21</v>
      </c>
      <c r="E44" s="21"/>
      <c r="F44" s="5" t="s">
        <v>30</v>
      </c>
      <c r="G44" s="5">
        <f>SUMIFS(DATA!$D$2:$D$183,DATA!$B$2:$B$183,RESULTADOS!$G$36,DATA!$L$2:$L$183,RESULTADOS!$C$6,DATA!$C$2:$C$183,RESULTADOS!F44)</f>
        <v>0</v>
      </c>
      <c r="H44" s="21"/>
      <c r="I44" s="21"/>
      <c r="J44" s="21"/>
      <c r="K44" s="21"/>
      <c r="L44" s="21"/>
      <c r="M44" s="21"/>
    </row>
    <row r="45" spans="1:13" x14ac:dyDescent="0.25">
      <c r="A45" s="21"/>
      <c r="B45" s="25" t="s">
        <v>369</v>
      </c>
      <c r="C45" s="53">
        <v>0.99</v>
      </c>
      <c r="D45" s="26">
        <v>3.08</v>
      </c>
      <c r="E45" s="21"/>
      <c r="F45" s="8" t="s">
        <v>78</v>
      </c>
      <c r="G45" s="8">
        <f>SUMIFS(DATA!$D$2:$D$183,DATA!$B$2:$B$183,RESULTADOS!$G$36,DATA!$L$2:$L$183,RESULTADOS!$C$6,DATA!$C$2:$C$183,RESULTADOS!F45)</f>
        <v>0</v>
      </c>
      <c r="H45" s="21"/>
      <c r="I45" s="21"/>
      <c r="J45" s="21"/>
      <c r="K45" s="21"/>
      <c r="L45" s="21"/>
      <c r="M45" s="21"/>
    </row>
    <row r="46" spans="1:13" x14ac:dyDescent="0.25">
      <c r="A46" s="21"/>
      <c r="B46" s="25" t="s">
        <v>370</v>
      </c>
      <c r="C46" s="53">
        <v>0.99</v>
      </c>
      <c r="D46" s="26">
        <v>5.18</v>
      </c>
      <c r="E46" s="21"/>
      <c r="F46" s="5" t="s">
        <v>61</v>
      </c>
      <c r="G46" s="5">
        <f>SUMIFS(DATA!$D$2:$D$183,DATA!$B$2:$B$183,RESULTADOS!$G$36,DATA!$L$2:$L$183,RESULTADOS!$C$6,DATA!$C$2:$C$183,RESULTADOS!F46)</f>
        <v>0</v>
      </c>
      <c r="H46" s="21"/>
      <c r="I46" s="21"/>
      <c r="J46" s="21"/>
      <c r="K46" s="21"/>
      <c r="L46" s="21"/>
      <c r="M46" s="21"/>
    </row>
    <row r="47" spans="1:13" x14ac:dyDescent="0.25">
      <c r="A47" s="21"/>
      <c r="B47" s="25" t="s">
        <v>371</v>
      </c>
      <c r="C47" s="53">
        <v>0.96</v>
      </c>
      <c r="D47" s="26">
        <v>13.2</v>
      </c>
      <c r="E47" s="21"/>
      <c r="F47" s="8" t="s">
        <v>110</v>
      </c>
      <c r="G47" s="8">
        <f>SUMIFS(DATA!$D$2:$D$183,DATA!$B$2:$B$183,RESULTADOS!$G$36,DATA!$L$2:$L$183,RESULTADOS!$C$6,DATA!$C$2:$C$183,RESULTADOS!F47)</f>
        <v>0</v>
      </c>
      <c r="H47" s="21"/>
      <c r="I47" s="21"/>
      <c r="J47" s="21"/>
      <c r="K47" s="21"/>
      <c r="L47" s="21"/>
      <c r="M47" s="21"/>
    </row>
    <row r="48" spans="1:13" x14ac:dyDescent="0.25">
      <c r="A48" s="21"/>
      <c r="B48" s="21"/>
      <c r="C48" s="21"/>
      <c r="D48" s="21"/>
      <c r="E48" s="21"/>
      <c r="F48" s="5" t="s">
        <v>54</v>
      </c>
      <c r="G48" s="5">
        <f>SUMIFS(DATA!$D$2:$D$183,DATA!$B$2:$B$183,RESULTADOS!$G$36,DATA!$L$2:$L$183,RESULTADOS!$C$6,DATA!$C$2:$C$183,RESULTADOS!F48)</f>
        <v>0</v>
      </c>
      <c r="H48" s="21"/>
      <c r="I48" s="21"/>
      <c r="J48" s="21"/>
      <c r="K48" s="21"/>
      <c r="L48" s="21"/>
      <c r="M48" s="21"/>
    </row>
    <row r="49" spans="1:13" x14ac:dyDescent="0.25">
      <c r="A49" s="21"/>
      <c r="B49" s="21"/>
      <c r="C49" s="21"/>
      <c r="D49" s="21"/>
      <c r="E49" s="21"/>
      <c r="F49" s="8" t="s">
        <v>166</v>
      </c>
      <c r="G49" s="8">
        <f>SUMIFS(DATA!$D$2:$D$183,DATA!$B$2:$B$183,RESULTADOS!$G$36,DATA!$L$2:$L$183,RESULTADOS!$C$6,DATA!$C$2:$C$183,RESULTADOS!F49)</f>
        <v>0</v>
      </c>
      <c r="H49" s="21"/>
      <c r="I49" s="21"/>
      <c r="J49" s="21"/>
      <c r="K49" s="21"/>
      <c r="L49" s="21"/>
      <c r="M49" s="21"/>
    </row>
    <row r="50" spans="1:13" x14ac:dyDescent="0.25">
      <c r="A50" s="21"/>
      <c r="B50" s="21"/>
      <c r="C50" s="21"/>
      <c r="D50" s="21"/>
      <c r="E50" s="21"/>
      <c r="F50" s="21"/>
      <c r="G50" s="21"/>
      <c r="H50" s="21"/>
      <c r="I50" s="21"/>
      <c r="J50" s="21"/>
      <c r="K50" s="21"/>
      <c r="L50" s="21"/>
      <c r="M50" s="21"/>
    </row>
    <row r="51" spans="1:13" x14ac:dyDescent="0.25">
      <c r="A51" s="21"/>
      <c r="B51" s="21"/>
      <c r="C51" s="21"/>
      <c r="D51" s="21"/>
      <c r="E51" s="21"/>
      <c r="F51" s="21"/>
      <c r="G51" s="21"/>
      <c r="H51" s="21"/>
      <c r="I51" s="21"/>
      <c r="J51" s="21"/>
      <c r="K51" s="21"/>
      <c r="L51" s="21"/>
      <c r="M51" s="21"/>
    </row>
    <row r="52" spans="1:13" x14ac:dyDescent="0.25"/>
    <row r="53" spans="1:13" x14ac:dyDescent="0.25"/>
    <row r="54" spans="1:13" x14ac:dyDescent="0.25"/>
    <row r="55" spans="1:13" x14ac:dyDescent="0.25"/>
    <row r="56" spans="1:13" x14ac:dyDescent="0.25"/>
    <row r="57" spans="1:13" x14ac:dyDescent="0.25"/>
    <row r="58" spans="1:13" x14ac:dyDescent="0.25"/>
    <row r="59" spans="1:13" x14ac:dyDescent="0.25"/>
    <row r="60" spans="1:13" x14ac:dyDescent="0.25"/>
    <row r="61" spans="1:13" x14ac:dyDescent="0.25">
      <c r="F61" s="87" t="s">
        <v>372</v>
      </c>
      <c r="G61" s="87"/>
      <c r="H61" s="27">
        <v>45876</v>
      </c>
    </row>
  </sheetData>
  <sheetProtection formatCells="0" formatColumns="0" formatRows="0"/>
  <mergeCells count="4">
    <mergeCell ref="C2:J2"/>
    <mergeCell ref="C9:C10"/>
    <mergeCell ref="F61:G61"/>
    <mergeCell ref="B4:C5"/>
  </mergeCells>
  <phoneticPr fontId="4" type="noConversion"/>
  <pageMargins left="0.7" right="0.7" top="0.75" bottom="0.75" header="0.3" footer="0.3"/>
  <pageSetup orientation="portrait" horizontalDpi="4294967292" r:id="rId1"/>
  <drawing r:id="rId2"/>
  <legacy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100-000000000000}">
          <x14:formula1>
            <xm:f>LISTA!$A$2:$A$13</xm:f>
          </x14:formula1>
          <xm:sqref>G36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19D2A-2844-4CAE-B8E5-51206F82D2BE}">
  <dimension ref="B1:AM15"/>
  <sheetViews>
    <sheetView topLeftCell="A3" zoomScale="68" zoomScaleNormal="68" workbookViewId="0">
      <selection activeCell="J19" sqref="J19"/>
    </sheetView>
  </sheetViews>
  <sheetFormatPr baseColWidth="10" defaultColWidth="10.7109375" defaultRowHeight="15" x14ac:dyDescent="0.25"/>
  <cols>
    <col min="1" max="1" width="1.140625" customWidth="1"/>
    <col min="3" max="3" width="13.85546875" bestFit="1" customWidth="1"/>
    <col min="4" max="4" width="3.7109375" customWidth="1"/>
    <col min="7" max="7" width="3.7109375" customWidth="1"/>
    <col min="10" max="10" width="3.7109375" customWidth="1"/>
    <col min="13" max="13" width="3.7109375" customWidth="1"/>
    <col min="16" max="16" width="3.7109375" customWidth="1"/>
    <col min="19" max="19" width="3.7109375" customWidth="1"/>
    <col min="22" max="22" width="3.7109375" customWidth="1"/>
    <col min="25" max="25" width="3.7109375" customWidth="1"/>
    <col min="29" max="29" width="12.140625" customWidth="1"/>
    <col min="32" max="32" width="11.42578125" bestFit="1" customWidth="1"/>
  </cols>
  <sheetData>
    <row r="1" spans="2:39" ht="63.75" x14ac:dyDescent="0.5">
      <c r="B1" s="89" t="s">
        <v>366</v>
      </c>
      <c r="C1" s="89"/>
      <c r="AC1" s="37"/>
      <c r="AD1" s="36" t="s">
        <v>373</v>
      </c>
      <c r="AE1" s="35" t="s">
        <v>374</v>
      </c>
      <c r="AF1" s="35" t="s">
        <v>375</v>
      </c>
      <c r="AG1" s="34" t="s">
        <v>376</v>
      </c>
    </row>
    <row r="2" spans="2:39" x14ac:dyDescent="0.25">
      <c r="B2" s="7" t="s">
        <v>16</v>
      </c>
      <c r="C2" s="6" t="s">
        <v>3</v>
      </c>
      <c r="E2" s="7" t="s">
        <v>16</v>
      </c>
      <c r="F2" s="6" t="s">
        <v>9</v>
      </c>
      <c r="H2" s="7" t="s">
        <v>16</v>
      </c>
      <c r="I2" s="6" t="s">
        <v>4</v>
      </c>
      <c r="K2" s="7" t="s">
        <v>16</v>
      </c>
      <c r="L2" s="6" t="s">
        <v>10</v>
      </c>
      <c r="N2" s="7" t="s">
        <v>16</v>
      </c>
      <c r="O2" s="6" t="s">
        <v>11</v>
      </c>
      <c r="Q2" s="7" t="s">
        <v>16</v>
      </c>
      <c r="R2" s="6" t="s">
        <v>5</v>
      </c>
      <c r="T2" s="7" t="s">
        <v>16</v>
      </c>
      <c r="U2" s="6" t="s">
        <v>6</v>
      </c>
      <c r="W2" s="7" t="s">
        <v>16</v>
      </c>
      <c r="X2" s="6" t="s">
        <v>7</v>
      </c>
      <c r="Z2" s="7" t="s">
        <v>16</v>
      </c>
      <c r="AA2" s="6" t="s">
        <v>8</v>
      </c>
      <c r="AC2" s="38" t="s">
        <v>377</v>
      </c>
      <c r="AD2" s="39">
        <f>RESULTADOS!L13</f>
        <v>5040</v>
      </c>
      <c r="AE2" s="39">
        <f>RESULTADOS!L14</f>
        <v>198</v>
      </c>
      <c r="AF2" s="39">
        <f>RESULTADOS!L18</f>
        <v>4842</v>
      </c>
      <c r="AG2" s="39">
        <f>RESULTADOS!L17</f>
        <v>15</v>
      </c>
    </row>
    <row r="3" spans="2:39" x14ac:dyDescent="0.25">
      <c r="B3" s="3"/>
      <c r="C3" s="3"/>
      <c r="E3" s="3"/>
      <c r="F3" s="3"/>
      <c r="H3" s="3"/>
      <c r="I3" s="3"/>
      <c r="K3" s="3"/>
      <c r="L3" s="3"/>
      <c r="N3" s="3"/>
      <c r="O3" s="3"/>
      <c r="Q3" s="3"/>
      <c r="R3" s="3"/>
      <c r="T3" s="3"/>
      <c r="U3" s="3"/>
      <c r="W3" s="3"/>
      <c r="X3" s="3"/>
      <c r="Z3" s="3"/>
      <c r="AA3" s="3"/>
    </row>
    <row r="4" spans="2:39" x14ac:dyDescent="0.25">
      <c r="B4" s="4" t="s">
        <v>361</v>
      </c>
      <c r="C4" s="4" t="s">
        <v>362</v>
      </c>
      <c r="E4" s="4" t="s">
        <v>361</v>
      </c>
      <c r="F4" s="4" t="s">
        <v>362</v>
      </c>
      <c r="H4" s="4" t="s">
        <v>361</v>
      </c>
      <c r="I4" s="4" t="s">
        <v>362</v>
      </c>
      <c r="K4" s="4" t="s">
        <v>361</v>
      </c>
      <c r="L4" s="4" t="s">
        <v>362</v>
      </c>
      <c r="N4" s="4" t="s">
        <v>361</v>
      </c>
      <c r="O4" s="4" t="s">
        <v>362</v>
      </c>
      <c r="Q4" s="4" t="s">
        <v>361</v>
      </c>
      <c r="R4" s="4" t="s">
        <v>362</v>
      </c>
      <c r="T4" s="4" t="s">
        <v>361</v>
      </c>
      <c r="U4" s="4" t="s">
        <v>362</v>
      </c>
      <c r="W4" s="4" t="s">
        <v>361</v>
      </c>
      <c r="X4" s="4" t="s">
        <v>362</v>
      </c>
      <c r="Z4" s="4" t="s">
        <v>361</v>
      </c>
      <c r="AA4" s="4" t="s">
        <v>362</v>
      </c>
      <c r="AC4" s="42" t="str">
        <f>RESULTADOS!B12</f>
        <v>EQUIPOS</v>
      </c>
      <c r="AD4" s="43" t="str" cm="1">
        <f t="array" ref="AD4:AL4">RESULTADOS!C12:K12</f>
        <v>CATERPILLAR 1</v>
      </c>
      <c r="AE4" s="43" t="str">
        <v>TOYOTA 5</v>
      </c>
      <c r="AF4" s="43" t="str">
        <v>NISSAN 7</v>
      </c>
      <c r="AG4" s="43" t="str">
        <v>TOYOTA 8</v>
      </c>
      <c r="AH4" s="43" t="str">
        <v>TOYOTA 9</v>
      </c>
      <c r="AI4" s="43" t="str">
        <v>TOYOTA 10</v>
      </c>
      <c r="AJ4" s="43" t="str">
        <v>TOYOTA 11</v>
      </c>
      <c r="AK4" s="43" t="str">
        <v>TOYOTA 12</v>
      </c>
      <c r="AL4" s="48" t="str">
        <v>TOYOTA 13</v>
      </c>
      <c r="AM4" s="49" t="s">
        <v>378</v>
      </c>
    </row>
    <row r="5" spans="2:39" x14ac:dyDescent="0.25">
      <c r="B5" s="8" t="s">
        <v>75</v>
      </c>
      <c r="C5" s="8">
        <v>0</v>
      </c>
      <c r="E5" s="8" t="s">
        <v>75</v>
      </c>
      <c r="F5" s="8">
        <f>SUMIFS(DATA!$D$2:$D$183,DATA!$B$2:$B$183,RESULTADOS!$G$36,DATA!$L$2:$L$183,RESULTADOS!$C$6,DATA!$C$2:$C$183,RESULTADOS!E5)</f>
        <v>0</v>
      </c>
      <c r="H5" s="8" t="s">
        <v>75</v>
      </c>
      <c r="I5" s="8">
        <v>0</v>
      </c>
      <c r="K5" s="8" t="s">
        <v>75</v>
      </c>
      <c r="L5" s="8">
        <v>0</v>
      </c>
      <c r="N5" s="8" t="s">
        <v>75</v>
      </c>
      <c r="O5" s="8">
        <v>0</v>
      </c>
      <c r="Q5" s="8" t="s">
        <v>75</v>
      </c>
      <c r="R5" s="8">
        <v>0</v>
      </c>
      <c r="T5" s="8" t="s">
        <v>75</v>
      </c>
      <c r="U5" s="8">
        <v>0</v>
      </c>
      <c r="W5" s="8" t="s">
        <v>75</v>
      </c>
      <c r="X5" s="8">
        <v>0</v>
      </c>
      <c r="Z5" s="8" t="s">
        <v>75</v>
      </c>
      <c r="AA5" s="8">
        <v>0</v>
      </c>
      <c r="AC5" s="44" t="s">
        <v>379</v>
      </c>
      <c r="AD5" s="40" cm="1">
        <f t="array" ref="AD5:AL5">RESULTADOS!C17:K17</f>
        <v>2</v>
      </c>
      <c r="AE5" s="40">
        <v>1</v>
      </c>
      <c r="AF5" s="40">
        <v>0</v>
      </c>
      <c r="AG5" s="40">
        <v>5</v>
      </c>
      <c r="AH5" s="40">
        <v>2</v>
      </c>
      <c r="AI5" s="40">
        <v>0</v>
      </c>
      <c r="AJ5" s="40">
        <v>3</v>
      </c>
      <c r="AK5" s="40">
        <v>2</v>
      </c>
      <c r="AL5" s="40">
        <v>0</v>
      </c>
      <c r="AM5" s="45">
        <f>RESULTADOS!L17</f>
        <v>15</v>
      </c>
    </row>
    <row r="6" spans="2:39" x14ac:dyDescent="0.25">
      <c r="B6" s="5" t="s">
        <v>40</v>
      </c>
      <c r="C6" s="5">
        <v>0</v>
      </c>
      <c r="E6" s="5" t="s">
        <v>40</v>
      </c>
      <c r="F6" s="5">
        <f>SUMIFS(DATA!$D$2:$D$183,DATA!$B$2:$B$183,RESULTADOS!$G$36,DATA!$L$2:$L$183,RESULTADOS!$C$6,DATA!$C$2:$C$183,RESULTADOS!E6)</f>
        <v>0</v>
      </c>
      <c r="H6" s="5" t="s">
        <v>40</v>
      </c>
      <c r="I6" s="5">
        <v>0</v>
      </c>
      <c r="K6" s="5" t="s">
        <v>40</v>
      </c>
      <c r="L6" s="5">
        <v>143</v>
      </c>
      <c r="N6" s="5" t="s">
        <v>40</v>
      </c>
      <c r="O6" s="5">
        <v>0</v>
      </c>
      <c r="Q6" s="5" t="s">
        <v>40</v>
      </c>
      <c r="R6" s="5">
        <v>24</v>
      </c>
      <c r="T6" s="5" t="s">
        <v>40</v>
      </c>
      <c r="U6" s="5">
        <v>0</v>
      </c>
      <c r="W6" s="5" t="s">
        <v>40</v>
      </c>
      <c r="X6" s="5">
        <v>0</v>
      </c>
      <c r="Z6" s="5" t="s">
        <v>40</v>
      </c>
      <c r="AA6" s="5">
        <v>0</v>
      </c>
      <c r="AC6" s="46" t="s">
        <v>380</v>
      </c>
      <c r="AD6" s="41" cm="1">
        <f t="array" ref="AD6:AL6">RESULTADOS!C14:K14</f>
        <v>11</v>
      </c>
      <c r="AE6" s="41">
        <v>1</v>
      </c>
      <c r="AF6" s="41">
        <v>0</v>
      </c>
      <c r="AG6" s="41">
        <v>47</v>
      </c>
      <c r="AH6" s="41">
        <v>2</v>
      </c>
      <c r="AI6" s="41">
        <v>0</v>
      </c>
      <c r="AJ6" s="41">
        <v>125</v>
      </c>
      <c r="AK6" s="41">
        <v>12</v>
      </c>
      <c r="AL6" s="41">
        <v>0</v>
      </c>
      <c r="AM6" s="47">
        <f>RESULTADOS!L14</f>
        <v>198</v>
      </c>
    </row>
    <row r="7" spans="2:39" x14ac:dyDescent="0.25">
      <c r="B7" s="8" t="s">
        <v>48</v>
      </c>
      <c r="C7" s="8">
        <v>0</v>
      </c>
      <c r="E7" s="8" t="s">
        <v>48</v>
      </c>
      <c r="F7" s="8">
        <f>SUMIFS(DATA!$D$2:$D$183,DATA!$B$2:$B$183,RESULTADOS!$G$36,DATA!$L$2:$L$183,RESULTADOS!$C$6,DATA!$C$2:$C$183,RESULTADOS!E7)</f>
        <v>0</v>
      </c>
      <c r="H7" s="8" t="s">
        <v>48</v>
      </c>
      <c r="I7" s="8">
        <v>0</v>
      </c>
      <c r="K7" s="8" t="s">
        <v>48</v>
      </c>
      <c r="L7" s="8">
        <v>0</v>
      </c>
      <c r="N7" s="8" t="s">
        <v>48</v>
      </c>
      <c r="O7" s="8">
        <v>0</v>
      </c>
      <c r="Q7" s="8" t="s">
        <v>48</v>
      </c>
      <c r="R7" s="8">
        <v>0</v>
      </c>
      <c r="T7" s="8" t="s">
        <v>48</v>
      </c>
      <c r="U7" s="8">
        <v>0</v>
      </c>
      <c r="W7" s="8" t="s">
        <v>48</v>
      </c>
      <c r="X7" s="8">
        <v>0</v>
      </c>
      <c r="Z7" s="8" t="s">
        <v>48</v>
      </c>
      <c r="AA7" s="8">
        <v>0</v>
      </c>
    </row>
    <row r="8" spans="2:39" x14ac:dyDescent="0.25">
      <c r="B8" s="5" t="s">
        <v>45</v>
      </c>
      <c r="C8" s="5">
        <v>0</v>
      </c>
      <c r="E8" s="5" t="s">
        <v>45</v>
      </c>
      <c r="F8" s="5">
        <f>SUMIFS(DATA!$D$2:$D$183,DATA!$B$2:$B$183,RESULTADOS!$G$36,DATA!$L$2:$L$183,RESULTADOS!$C$6,DATA!$C$2:$C$183,RESULTADOS!E8)</f>
        <v>0</v>
      </c>
      <c r="H8" s="5" t="s">
        <v>45</v>
      </c>
      <c r="I8" s="5">
        <v>0</v>
      </c>
      <c r="K8" s="5" t="s">
        <v>45</v>
      </c>
      <c r="L8" s="5">
        <v>0</v>
      </c>
      <c r="N8" s="5" t="s">
        <v>45</v>
      </c>
      <c r="O8" s="5">
        <v>0</v>
      </c>
      <c r="Q8" s="5" t="s">
        <v>45</v>
      </c>
      <c r="R8" s="5">
        <v>0</v>
      </c>
      <c r="T8" s="5" t="s">
        <v>45</v>
      </c>
      <c r="U8" s="5">
        <v>0</v>
      </c>
      <c r="W8" s="5" t="s">
        <v>45</v>
      </c>
      <c r="X8" s="5">
        <v>0</v>
      </c>
      <c r="Z8" s="5" t="s">
        <v>45</v>
      </c>
      <c r="AA8" s="5">
        <v>0</v>
      </c>
    </row>
    <row r="9" spans="2:39" x14ac:dyDescent="0.25">
      <c r="B9" s="8" t="s">
        <v>27</v>
      </c>
      <c r="C9" s="8">
        <v>0</v>
      </c>
      <c r="E9" s="8" t="s">
        <v>27</v>
      </c>
      <c r="F9" s="8">
        <f>SUMIFS(DATA!$D$2:$D$183,DATA!$B$2:$B$183,RESULTADOS!$G$36,DATA!$L$2:$L$183,RESULTADOS!$C$6,DATA!$C$2:$C$183,RESULTADOS!E9)</f>
        <v>0</v>
      </c>
      <c r="H9" s="8" t="s">
        <v>27</v>
      </c>
      <c r="I9" s="8">
        <v>0</v>
      </c>
      <c r="K9" s="8" t="s">
        <v>27</v>
      </c>
      <c r="L9" s="8">
        <v>0</v>
      </c>
      <c r="N9" s="8" t="s">
        <v>27</v>
      </c>
      <c r="O9" s="8">
        <v>0</v>
      </c>
      <c r="Q9" s="8" t="s">
        <v>27</v>
      </c>
      <c r="R9" s="8">
        <v>0</v>
      </c>
      <c r="T9" s="8" t="s">
        <v>27</v>
      </c>
      <c r="U9" s="8">
        <v>0</v>
      </c>
      <c r="W9" s="8" t="s">
        <v>27</v>
      </c>
      <c r="X9" s="8">
        <v>0</v>
      </c>
      <c r="Z9" s="8" t="s">
        <v>27</v>
      </c>
      <c r="AA9" s="8">
        <v>0</v>
      </c>
    </row>
    <row r="10" spans="2:39" x14ac:dyDescent="0.25">
      <c r="B10" s="5" t="s">
        <v>30</v>
      </c>
      <c r="C10" s="5">
        <v>2</v>
      </c>
      <c r="E10" s="5" t="s">
        <v>30</v>
      </c>
      <c r="F10" s="5">
        <f>SUMIFS(DATA!$D$2:$D$183,DATA!$B$2:$B$183,RESULTADOS!$G$36,DATA!$L$2:$L$183,RESULTADOS!$C$6,DATA!$C$2:$C$183,RESULTADOS!E10)</f>
        <v>0</v>
      </c>
      <c r="H10" s="5" t="s">
        <v>30</v>
      </c>
      <c r="I10" s="5">
        <v>0</v>
      </c>
      <c r="K10" s="5" t="s">
        <v>30</v>
      </c>
      <c r="L10" s="5">
        <v>0</v>
      </c>
      <c r="N10" s="5" t="s">
        <v>30</v>
      </c>
      <c r="O10" s="5">
        <v>0</v>
      </c>
      <c r="Q10" s="5" t="s">
        <v>30</v>
      </c>
      <c r="R10" s="5">
        <v>0</v>
      </c>
      <c r="T10" s="5" t="s">
        <v>30</v>
      </c>
      <c r="U10" s="5">
        <v>0</v>
      </c>
      <c r="W10" s="5" t="s">
        <v>30</v>
      </c>
      <c r="X10" s="5">
        <v>2</v>
      </c>
      <c r="Z10" s="5" t="s">
        <v>30</v>
      </c>
      <c r="AA10" s="5">
        <v>0</v>
      </c>
    </row>
    <row r="11" spans="2:39" x14ac:dyDescent="0.25">
      <c r="B11" s="8" t="s">
        <v>78</v>
      </c>
      <c r="C11" s="8">
        <v>0</v>
      </c>
      <c r="E11" s="8" t="s">
        <v>78</v>
      </c>
      <c r="F11" s="8">
        <f>SUMIFS(DATA!$D$2:$D$183,DATA!$B$2:$B$183,RESULTADOS!$G$36,DATA!$L$2:$L$183,RESULTADOS!$C$6,DATA!$C$2:$C$183,RESULTADOS!E11)</f>
        <v>0</v>
      </c>
      <c r="H11" s="8" t="s">
        <v>78</v>
      </c>
      <c r="I11" s="8">
        <v>0</v>
      </c>
      <c r="K11" s="8" t="s">
        <v>78</v>
      </c>
      <c r="L11" s="8">
        <v>0</v>
      </c>
      <c r="N11" s="8" t="s">
        <v>78</v>
      </c>
      <c r="O11" s="8">
        <v>0</v>
      </c>
      <c r="Q11" s="8" t="s">
        <v>78</v>
      </c>
      <c r="R11" s="8">
        <v>0</v>
      </c>
      <c r="T11" s="8" t="s">
        <v>78</v>
      </c>
      <c r="U11" s="8">
        <v>0</v>
      </c>
      <c r="W11" s="8" t="s">
        <v>78</v>
      </c>
      <c r="X11" s="8">
        <v>0</v>
      </c>
      <c r="Z11" s="8" t="s">
        <v>78</v>
      </c>
      <c r="AA11" s="8">
        <v>0</v>
      </c>
    </row>
    <row r="12" spans="2:39" x14ac:dyDescent="0.25">
      <c r="B12" s="5" t="s">
        <v>61</v>
      </c>
      <c r="C12" s="5">
        <v>0</v>
      </c>
      <c r="E12" s="5" t="s">
        <v>61</v>
      </c>
      <c r="F12" s="5">
        <f>SUMIFS(DATA!$D$2:$D$183,DATA!$B$2:$B$183,RESULTADOS!$G$36,DATA!$L$2:$L$183,RESULTADOS!$C$6,DATA!$C$2:$C$183,RESULTADOS!E12)</f>
        <v>0</v>
      </c>
      <c r="H12" s="5" t="s">
        <v>61</v>
      </c>
      <c r="I12" s="5">
        <v>0</v>
      </c>
      <c r="K12" s="5" t="s">
        <v>61</v>
      </c>
      <c r="L12" s="5">
        <v>0</v>
      </c>
      <c r="N12" s="5" t="s">
        <v>61</v>
      </c>
      <c r="O12" s="5">
        <v>0</v>
      </c>
      <c r="Q12" s="5" t="s">
        <v>61</v>
      </c>
      <c r="R12" s="5">
        <v>0</v>
      </c>
      <c r="T12" s="5" t="s">
        <v>61</v>
      </c>
      <c r="U12" s="5">
        <v>0</v>
      </c>
      <c r="W12" s="5" t="s">
        <v>61</v>
      </c>
      <c r="X12" s="5">
        <v>0</v>
      </c>
      <c r="Z12" s="5" t="s">
        <v>61</v>
      </c>
      <c r="AA12" s="5">
        <v>0</v>
      </c>
    </row>
    <row r="13" spans="2:39" x14ac:dyDescent="0.25">
      <c r="B13" s="8" t="s">
        <v>110</v>
      </c>
      <c r="C13" s="8">
        <v>0</v>
      </c>
      <c r="E13" s="8" t="s">
        <v>110</v>
      </c>
      <c r="F13" s="8">
        <f>SUMIFS(DATA!$D$2:$D$183,DATA!$B$2:$B$183,RESULTADOS!$G$36,DATA!$L$2:$L$183,RESULTADOS!$C$6,DATA!$C$2:$C$183,RESULTADOS!E13)</f>
        <v>0</v>
      </c>
      <c r="H13" s="8" t="s">
        <v>110</v>
      </c>
      <c r="I13" s="8">
        <v>0</v>
      </c>
      <c r="K13" s="8" t="s">
        <v>110</v>
      </c>
      <c r="L13" s="8">
        <v>0</v>
      </c>
      <c r="N13" s="8" t="s">
        <v>110</v>
      </c>
      <c r="O13" s="8">
        <v>0</v>
      </c>
      <c r="Q13" s="8" t="s">
        <v>110</v>
      </c>
      <c r="R13" s="8">
        <v>0</v>
      </c>
      <c r="T13" s="8" t="s">
        <v>110</v>
      </c>
      <c r="U13" s="8">
        <v>0</v>
      </c>
      <c r="W13" s="8" t="s">
        <v>110</v>
      </c>
      <c r="X13" s="8">
        <v>0</v>
      </c>
      <c r="Z13" s="8" t="s">
        <v>110</v>
      </c>
      <c r="AA13" s="8">
        <v>0</v>
      </c>
    </row>
    <row r="14" spans="2:39" x14ac:dyDescent="0.25">
      <c r="B14" s="5" t="s">
        <v>54</v>
      </c>
      <c r="C14" s="5">
        <v>0</v>
      </c>
      <c r="E14" s="5" t="s">
        <v>54</v>
      </c>
      <c r="F14" s="5">
        <f>SUMIFS(DATA!$D$2:$D$183,DATA!$B$2:$B$183,RESULTADOS!$G$36,DATA!$L$2:$L$183,RESULTADOS!$C$6,DATA!$C$2:$C$183,RESULTADOS!E14)</f>
        <v>0</v>
      </c>
      <c r="H14" s="5" t="s">
        <v>54</v>
      </c>
      <c r="I14" s="5">
        <v>0</v>
      </c>
      <c r="K14" s="5" t="s">
        <v>54</v>
      </c>
      <c r="L14" s="5">
        <v>0</v>
      </c>
      <c r="N14" s="5" t="s">
        <v>54</v>
      </c>
      <c r="O14" s="5">
        <v>0</v>
      </c>
      <c r="Q14" s="5" t="s">
        <v>54</v>
      </c>
      <c r="R14" s="5">
        <v>0</v>
      </c>
      <c r="T14" s="5" t="s">
        <v>54</v>
      </c>
      <c r="U14" s="5">
        <v>0</v>
      </c>
      <c r="W14" s="5" t="s">
        <v>54</v>
      </c>
      <c r="X14" s="5">
        <v>0</v>
      </c>
      <c r="Z14" s="5" t="s">
        <v>54</v>
      </c>
      <c r="AA14" s="5">
        <v>0</v>
      </c>
    </row>
    <row r="15" spans="2:39" x14ac:dyDescent="0.25">
      <c r="H15" t="s">
        <v>166</v>
      </c>
      <c r="I15">
        <v>0</v>
      </c>
      <c r="Z15" s="8" t="s">
        <v>166</v>
      </c>
      <c r="AA15" s="8">
        <v>5</v>
      </c>
    </row>
  </sheetData>
  <mergeCells count="1">
    <mergeCell ref="B1:C1"/>
  </mergeCells>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4076FEF7-1699-40D6-B481-181D0C419FF6}">
          <x14:formula1>
            <xm:f>LISTA!$A$2:$A$13</xm:f>
          </x14:formula1>
          <xm:sqref>C2 F2 I2 L2 O2 R2 U2 X2 AA2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D14"/>
  <sheetViews>
    <sheetView workbookViewId="0">
      <selection sqref="A1:A10"/>
    </sheetView>
  </sheetViews>
  <sheetFormatPr baseColWidth="10" defaultColWidth="10.7109375" defaultRowHeight="15" x14ac:dyDescent="0.25"/>
  <cols>
    <col min="1" max="1" width="18.42578125" customWidth="1"/>
    <col min="2" max="2" width="18.7109375" bestFit="1" customWidth="1"/>
    <col min="3" max="3" width="19.140625" customWidth="1"/>
    <col min="4" max="4" width="9.7109375" bestFit="1" customWidth="1"/>
  </cols>
  <sheetData>
    <row r="1" spans="1:4" x14ac:dyDescent="0.25">
      <c r="A1" t="s">
        <v>16</v>
      </c>
      <c r="B1" t="s">
        <v>381</v>
      </c>
      <c r="C1" t="s">
        <v>382</v>
      </c>
      <c r="D1" t="s">
        <v>22</v>
      </c>
    </row>
    <row r="2" spans="1:4" x14ac:dyDescent="0.25">
      <c r="A2" s="2" t="s">
        <v>3</v>
      </c>
      <c r="B2" s="1" t="s">
        <v>48</v>
      </c>
      <c r="C2" s="10" t="s">
        <v>107</v>
      </c>
      <c r="D2" t="s">
        <v>383</v>
      </c>
    </row>
    <row r="3" spans="1:4" x14ac:dyDescent="0.25">
      <c r="A3" s="2" t="s">
        <v>9</v>
      </c>
      <c r="B3" s="1" t="s">
        <v>75</v>
      </c>
      <c r="C3" s="10" t="s">
        <v>157</v>
      </c>
      <c r="D3" t="s">
        <v>384</v>
      </c>
    </row>
    <row r="4" spans="1:4" x14ac:dyDescent="0.25">
      <c r="A4" s="2" t="s">
        <v>4</v>
      </c>
      <c r="B4" s="1" t="s">
        <v>40</v>
      </c>
      <c r="C4" s="10" t="s">
        <v>252</v>
      </c>
    </row>
    <row r="5" spans="1:4" x14ac:dyDescent="0.25">
      <c r="A5" s="2" t="s">
        <v>10</v>
      </c>
      <c r="B5" s="1" t="s">
        <v>78</v>
      </c>
      <c r="C5" s="10" t="s">
        <v>385</v>
      </c>
    </row>
    <row r="6" spans="1:4" x14ac:dyDescent="0.25">
      <c r="A6" s="2" t="s">
        <v>11</v>
      </c>
      <c r="B6" s="1" t="s">
        <v>27</v>
      </c>
      <c r="C6" s="10"/>
    </row>
    <row r="7" spans="1:4" x14ac:dyDescent="0.25">
      <c r="A7" s="2" t="s">
        <v>5</v>
      </c>
      <c r="B7" s="1" t="s">
        <v>110</v>
      </c>
      <c r="C7" s="10"/>
    </row>
    <row r="8" spans="1:4" x14ac:dyDescent="0.25">
      <c r="A8" s="2" t="s">
        <v>6</v>
      </c>
      <c r="B8" s="1" t="s">
        <v>45</v>
      </c>
    </row>
    <row r="9" spans="1:4" x14ac:dyDescent="0.25">
      <c r="A9" s="2" t="s">
        <v>7</v>
      </c>
      <c r="B9" s="1" t="s">
        <v>30</v>
      </c>
    </row>
    <row r="10" spans="1:4" x14ac:dyDescent="0.25">
      <c r="A10" s="2" t="s">
        <v>8</v>
      </c>
      <c r="B10" s="1" t="s">
        <v>61</v>
      </c>
    </row>
    <row r="11" spans="1:4" x14ac:dyDescent="0.25">
      <c r="A11" s="2"/>
      <c r="B11" s="1" t="s">
        <v>54</v>
      </c>
    </row>
    <row r="12" spans="1:4" x14ac:dyDescent="0.25">
      <c r="A12" s="2"/>
      <c r="B12" s="1" t="s">
        <v>37</v>
      </c>
    </row>
    <row r="13" spans="1:4" x14ac:dyDescent="0.25">
      <c r="A13" s="2"/>
      <c r="B13" s="1" t="s">
        <v>166</v>
      </c>
    </row>
    <row r="14" spans="1:4" x14ac:dyDescent="0.25">
      <c r="B14" s="1" t="s">
        <v>176</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COSTO TOTAL</vt:lpstr>
      <vt:lpstr>DATA</vt:lpstr>
      <vt:lpstr>Hoja1</vt:lpstr>
      <vt:lpstr>RESULTADOS</vt:lpstr>
      <vt:lpstr>ACUMULADO EQUIPOS APC</vt:lpstr>
      <vt:lpstr>LISTA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 GAMING</dc:creator>
  <cp:keywords/>
  <dc:description/>
  <cp:lastModifiedBy>CARLOS PERTUZ</cp:lastModifiedBy>
  <cp:revision/>
  <dcterms:created xsi:type="dcterms:W3CDTF">2025-07-08T01:17:51Z</dcterms:created>
  <dcterms:modified xsi:type="dcterms:W3CDTF">2026-03-28T01:57:27Z</dcterms:modified>
  <cp:category/>
  <cp:contentStatus/>
</cp:coreProperties>
</file>